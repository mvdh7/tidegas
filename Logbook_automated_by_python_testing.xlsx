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https://d.docs.live.net/0e67038fc02b579b/Documenten/GitHub/tidegas/"/>
    </mc:Choice>
  </mc:AlternateContent>
  <xr:revisionPtr revIDLastSave="6" documentId="11_27E5F84751689C0E62355476585DCE3A8746AA61" xr6:coauthVersionLast="47" xr6:coauthVersionMax="47" xr10:uidLastSave="{21EE2F42-3628-45F5-AD0A-74352FF3BC7A}"/>
  <bookViews>
    <workbookView xWindow="1152" yWindow="1152" windowWidth="17280" windowHeight="8964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3" i="1" l="1"/>
</calcChain>
</file>

<file path=xl/sharedStrings.xml><?xml version="1.0" encoding="utf-8"?>
<sst xmlns="http://schemas.openxmlformats.org/spreadsheetml/2006/main" count="325" uniqueCount="142">
  <si>
    <t>Description</t>
  </si>
  <si>
    <t>file name alkalinity</t>
  </si>
  <si>
    <t>date</t>
  </si>
  <si>
    <t>sample/junk</t>
  </si>
  <si>
    <t>bottle</t>
  </si>
  <si>
    <t>batch</t>
  </si>
  <si>
    <t>Corresponding DIC file nr</t>
  </si>
  <si>
    <t xml:space="preserve">notes </t>
  </si>
  <si>
    <t>file_not_good</t>
  </si>
  <si>
    <t>Temperature</t>
  </si>
  <si>
    <t>First emf value</t>
  </si>
  <si>
    <t>Salinity</t>
  </si>
  <si>
    <t>Titrant Molinity</t>
  </si>
  <si>
    <t>Reference DIC (umol/L)</t>
  </si>
  <si>
    <t>Reference DIC (umol/kg)</t>
  </si>
  <si>
    <t>Calculated DIC (umol/kg)</t>
  </si>
  <si>
    <t>waiting time (minutes)</t>
  </si>
  <si>
    <t>Titration duration (seconds)</t>
  </si>
  <si>
    <t>detailed timings?</t>
  </si>
  <si>
    <t>acid in mL extracted</t>
  </si>
  <si>
    <t>acid increment extracted</t>
  </si>
  <si>
    <t>acid added (mL)</t>
  </si>
  <si>
    <t>acid increments (mL)</t>
  </si>
  <si>
    <t>emf0 value</t>
  </si>
  <si>
    <t>Vindta raw alkalinity</t>
  </si>
  <si>
    <t>calkulate alkalinity</t>
  </si>
  <si>
    <t>Unnamed: 15</t>
  </si>
  <si>
    <t>file name DIC</t>
  </si>
  <si>
    <t>start time</t>
  </si>
  <si>
    <t>sample volume (L)</t>
  </si>
  <si>
    <t>Reference (0 acid) integraded current uAs</t>
  </si>
  <si>
    <t>Calculated DIC (umol/L)</t>
  </si>
  <si>
    <t>0-0  0  (0)junk-250916-01.dat</t>
  </si>
  <si>
    <t>16-Sep</t>
  </si>
  <si>
    <t>Junk</t>
  </si>
  <si>
    <t>first measurement bad</t>
  </si>
  <si>
    <t>not_good</t>
  </si>
  <si>
    <t>backup 10_10</t>
  </si>
  <si>
    <t>0-0  0  (0)junk-250916-02.dat</t>
  </si>
  <si>
    <t>0-0  0  (0)junk-250916-03.dat</t>
  </si>
  <si>
    <t>0-0  0  (0)junk-250916-04.dat</t>
  </si>
  <si>
    <t>0-0  0  (0)junk-250916-05.dat</t>
  </si>
  <si>
    <t>0-0  0  (0)junk-250916-06.dat</t>
  </si>
  <si>
    <t>0-0  0  (0)junk-250916-07.dat</t>
  </si>
  <si>
    <t>0-0  0  (0)junk-250916-08.dat</t>
  </si>
  <si>
    <t xml:space="preserve">Cell not full </t>
  </si>
  <si>
    <t>0-0  0  (0)junk-250916-09.dat</t>
  </si>
  <si>
    <t>0-0  0  (0)junk-250916-10.dat</t>
  </si>
  <si>
    <t>0-0  0  (0)junk-250916-11.dat</t>
  </si>
  <si>
    <t>0-0  0  (0)junk-250917-01.dat</t>
  </si>
  <si>
    <t>17-Sep</t>
  </si>
  <si>
    <t>0-0  0  (0)junk-250917-02.dat</t>
  </si>
  <si>
    <t>0-0  0  (0)junk-250917-03.dat</t>
  </si>
  <si>
    <t>0-0  0  (0)junk-250917-04.dat</t>
  </si>
  <si>
    <t>0-0  0  (0)junk-250917-05.dat</t>
  </si>
  <si>
    <t>0-0  0  (0)junk-250917-06.dat</t>
  </si>
  <si>
    <t>0-0  0  (0)junk-250917-07.dat</t>
  </si>
  <si>
    <t>0-0  0  (0)junk-250917-08.dat</t>
  </si>
  <si>
    <t>0-0  0  (0)junk-250917-09.dat</t>
  </si>
  <si>
    <t>0-0  0  (0)junk-250917-10.dat</t>
  </si>
  <si>
    <t>0-0  0  (0)junk-250917-11.dat</t>
  </si>
  <si>
    <t>0-0  0  (0)junk-250917-12.dat</t>
  </si>
  <si>
    <t>0-0  0  (0)junk-250918-01.dat</t>
  </si>
  <si>
    <t>18-Sep</t>
  </si>
  <si>
    <t>0-0  0  (0)junk-250918-02.dat</t>
  </si>
  <si>
    <t>0-0  0  (0)junk-250918-03.dat</t>
  </si>
  <si>
    <t>0-0  0  (0)junk-250930-02.dat</t>
  </si>
  <si>
    <t>30-Sep</t>
  </si>
  <si>
    <t>0-0  0  (0)junk-250930-03.dat</t>
  </si>
  <si>
    <t>0-0  0  (0)junk-250930-04-2_25mL-0_15incrMl.dat</t>
  </si>
  <si>
    <t>0-0  0  (0)junk-250930-05-1_2mL-0_15incrmL.dat</t>
  </si>
  <si>
    <t>0-0  0  (0)junk-250930-06-3_15mL-0_15incrmL.dat</t>
  </si>
  <si>
    <t>0-0  0  (0)junk-250930-07-3_60mL-0_15incrmL.dat</t>
  </si>
  <si>
    <t>0-0  0  (0)junk-250930-08-4_80mL-0_15incrmL.dat</t>
  </si>
  <si>
    <t>0-0  0  (0)junk-250930-09-4_2mL-0_15incrmL.dat</t>
  </si>
  <si>
    <t>0-0  0  (0)junk-251001-01-4_2mL-0_15incrmL.dat</t>
  </si>
  <si>
    <t>01-Oct</t>
  </si>
  <si>
    <t>yes</t>
  </si>
  <si>
    <t>0-0  0  (0)junk-251001-02-2_25mL-0_15incrmL.dat</t>
  </si>
  <si>
    <t>0-0  0  (0)junk-251001-03-1_2mL-0_15incrmL.dat</t>
  </si>
  <si>
    <t>0-0  0  (0)junk-251001-04-1_2mL-0_15incrmL.dat</t>
  </si>
  <si>
    <t>0-0  0  (0)junk-251001-05-1_2mL-0_15incrmL.dat</t>
  </si>
  <si>
    <t>0-0  0  (0)junk-251001-07-2_25mL-0_15incrmL.dat</t>
  </si>
  <si>
    <t>0-0  0  (0)junk-251001-08-2_25mL-0_15incrmL.dat</t>
  </si>
  <si>
    <t>0-0  0  (0)junk-251001-09-2_25mL-0_15incrmL.dat</t>
  </si>
  <si>
    <t>0-0  0  (0)junk-251001-10-3_15mL-0_15incrmL.dat</t>
  </si>
  <si>
    <t>0-0  0  (0)junk-251001-11-3_15mL-0_15incrmL.dat</t>
  </si>
  <si>
    <t>0-0  0  (0)junk-251001-12-4_2mL-0_15incrmL.dat</t>
  </si>
  <si>
    <t>0-0  0  (0)junk-251001-13-4_2mL-0_15incrmL.dat</t>
  </si>
  <si>
    <t>0-0  0  (0)junk-251003-01-4_2mL-0_15incrmL.dat</t>
  </si>
  <si>
    <t>03-Oct</t>
  </si>
  <si>
    <t>0-0  0  (0)junk-251003-02-4_2mL-0_15incrmL.dat</t>
  </si>
  <si>
    <t>0-0  0  (0)junk-251003-03-4_2mL-0_15incrmL.dat</t>
  </si>
  <si>
    <t>0-0  0  (0)junk-251003-04-4_2mL-0_15incrmL.dat</t>
  </si>
  <si>
    <t>0-0  0  (0)junk-251003-05-4_2mL-0_15incrmL.dat</t>
  </si>
  <si>
    <t>0-0  0  (0)junk-251003-07-2_25mL-0_15incrmL.dat</t>
  </si>
  <si>
    <t>0-0  0  (0)junk-251003-08-2_25mL-0_15incrmL.dat</t>
  </si>
  <si>
    <t>0-0  0  (0)junk-251003-09-2_25mL-0_15incrmL.dat</t>
  </si>
  <si>
    <t>0-0  0  (0)junk-251006-01-4_2mL-0_15incrmL.dat</t>
  </si>
  <si>
    <t>06-Oct</t>
  </si>
  <si>
    <t>0-0  0  (0)junk-251006-02-4_2mL-0_15incrmL.dat</t>
  </si>
  <si>
    <t>0-0  0  (0)junk-251006-03-4_2mL-0_15incrmL.dat</t>
  </si>
  <si>
    <t>0-0  0  (0)junk-251006-04-4_2mL-0_15incrmL.dat</t>
  </si>
  <si>
    <t>0-0  0  (0)junk-251006-05-4_2mL-0_15incrmL.dat</t>
  </si>
  <si>
    <t>0-0  0  (0)junk-251006-06-4_2mL-0_15incrmL.dat</t>
  </si>
  <si>
    <t>0-0  0  (0)junk-251006-07-4_2mL-0_15incrmL-0_0min.dat</t>
  </si>
  <si>
    <t>0-0  0  (0)junk-251006-08-4_2mL-0_15incrmL-1_0min.dat</t>
  </si>
  <si>
    <t>0-0  0  (0)junk-251008-01-4_2mL-0_15incrmL.dat</t>
  </si>
  <si>
    <t>08-Oct</t>
  </si>
  <si>
    <t>0-0  0  (0)junk-251008-02-4_2mL-0_15incrmL.dat</t>
  </si>
  <si>
    <t>0-0  0  (0)junk-251008-03-4_2mL-0_15incrmL.dat</t>
  </si>
  <si>
    <t>0-0  0  (0)junk-251008-04-4_2mL-0_15incrmL.dat</t>
  </si>
  <si>
    <t>0-0  0  (0)junk-251008-05-4_2mL-0_15incrmL.dat</t>
  </si>
  <si>
    <t>0-0  0  (0)junk-251008-06-4_2mL-0_15incrmL.dat</t>
  </si>
  <si>
    <t>0-0  0  (0)junk-251008-07-4_2mL-0_15incrmL.dat</t>
  </si>
  <si>
    <t>0-0  0  (0)junk-251009-01-4_2mL-0_15incrmL.dat</t>
  </si>
  <si>
    <t>09-Oct</t>
  </si>
  <si>
    <t>0-0  0  (0)junk-251009-02-4_2mL-0_15incrmL.dat</t>
  </si>
  <si>
    <t>0-0  0  (0)junk-251009-03-4_2mL-0_15incrmL.dat</t>
  </si>
  <si>
    <t>0-0  0  (0)junk-251009-04-4_2mL-4_2incrmL.dat</t>
  </si>
  <si>
    <t>0-0  0  (0)junk-251009-05-4_2mL-4_2incrmL.dat</t>
  </si>
  <si>
    <t>0-0  0  (0)junk-251009-06-4_2mL-4_2incrmL.dat</t>
  </si>
  <si>
    <t>0-0  0  (0)junk-251009-07-4_2mL-4_2incrmL.dat</t>
  </si>
  <si>
    <t>0-0  0  (0)junk-251009-08-4_2mL-4_2incrmL.dat</t>
  </si>
  <si>
    <t>0-0  0  (0)junk-251009-09-4_2mL-4_2incrmL.dat</t>
  </si>
  <si>
    <t>0-0  0  (0)junk-251009-10-4_2mL-4_2incrmL.dat</t>
  </si>
  <si>
    <t>0-0  0  (0)junk-251009-11-4_2mL-4_2incrmL.dat</t>
  </si>
  <si>
    <t>0-0  0  (0)junk-251009-12-4_2mL-4_2incrmL.dat</t>
  </si>
  <si>
    <t>0-0  0  (0)junk-251009-13-4_2mL-4_2incrmL.dat</t>
  </si>
  <si>
    <t>0-0  0  (0)junk-251009-14-4_2mL-4_2incrmL.dat</t>
  </si>
  <si>
    <t>0-0  0  (0)junk-251009-15-4_2mL-4_2incrmL.dat</t>
  </si>
  <si>
    <t>0-0  0  (0)junk-251013-01-4_2mL-0_15incrmL.dat</t>
  </si>
  <si>
    <t>13-Oct</t>
  </si>
  <si>
    <t>0-0  0  (0)junk-251013-02-1_2mL-0_15incrmL.dat</t>
  </si>
  <si>
    <t>0-0  0  (0)junk-251013-03-1_2mL-0_15incrmL.dat</t>
  </si>
  <si>
    <t>0-0  0  (0)junk-251013-04-1_2mL-0_15incrmL.dat</t>
  </si>
  <si>
    <t>0-0  0  (0)junk-251013-05-1_2mL-0_15incrmL.dat</t>
  </si>
  <si>
    <t>0-0  0  (0)junk-251013-06-1_2mL-0_15incrmL.dat</t>
  </si>
  <si>
    <t>0-0  0  (0)junk-251013-07-1_2mL-0_15incrmL.dat</t>
  </si>
  <si>
    <t>0-0  0  (0)junk-251013-08-1_2mL-0_15incrmL.dat</t>
  </si>
  <si>
    <t>0-0  0  (0)junk-251013-09-1_2mL-0_15incrmL.dat</t>
  </si>
  <si>
    <t>0-0  0  (0)junk-251013-10-1_2mL-0_15incrmL.dat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</si>
</sst>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95"/>
  <sheetViews>
    <sheetView tabSelected="1" topLeftCell="A15" workbookViewId="0">
      <selection activeCell="Q23" sqref="Q23"/>
    </sheetView>
  </sheetViews>
  <sheetFormatPr defaultRowHeight="14.4" x14ac:dyDescent="0.3"/>
  <sheetData>
    <row r="1" spans="1:3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 x14ac:dyDescent="0.3">
      <c r="B2" t="s">
        <v>32</v>
      </c>
      <c r="C2" t="s">
        <v>33</v>
      </c>
      <c r="D2" t="s">
        <v>34</v>
      </c>
      <c r="E2">
        <v>1</v>
      </c>
      <c r="H2" t="s">
        <v>35</v>
      </c>
      <c r="I2" t="s">
        <v>36</v>
      </c>
      <c r="J2">
        <v>21.3</v>
      </c>
      <c r="K2">
        <v>159.30000000000001</v>
      </c>
      <c r="L2">
        <v>30</v>
      </c>
      <c r="M2">
        <v>0.1</v>
      </c>
      <c r="N2">
        <v>2300</v>
      </c>
      <c r="O2">
        <v>2253.545360545615</v>
      </c>
      <c r="V2">
        <v>4.2</v>
      </c>
      <c r="W2">
        <v>0.15</v>
      </c>
      <c r="AA2" t="s">
        <v>37</v>
      </c>
    </row>
    <row r="3" spans="1:32" x14ac:dyDescent="0.3">
      <c r="B3" t="s">
        <v>38</v>
      </c>
      <c r="C3" t="s">
        <v>33</v>
      </c>
      <c r="D3" t="s">
        <v>34</v>
      </c>
      <c r="E3">
        <v>2</v>
      </c>
      <c r="J3">
        <v>25.9</v>
      </c>
      <c r="K3">
        <v>162.75</v>
      </c>
      <c r="L3">
        <v>30</v>
      </c>
      <c r="M3">
        <v>0.1</v>
      </c>
      <c r="N3">
        <v>2300</v>
      </c>
      <c r="O3">
        <v>2256.453553530313</v>
      </c>
      <c r="V3">
        <v>4.2</v>
      </c>
      <c r="W3">
        <v>0.15</v>
      </c>
      <c r="X3">
        <v>634.62658381766573</v>
      </c>
      <c r="Z3">
        <v>2479.38148995349</v>
      </c>
      <c r="AA3">
        <v>2479.862851630111</v>
      </c>
    </row>
    <row r="4" spans="1:32" x14ac:dyDescent="0.3">
      <c r="B4" t="s">
        <v>39</v>
      </c>
      <c r="C4" t="s">
        <v>33</v>
      </c>
      <c r="D4" t="s">
        <v>34</v>
      </c>
      <c r="E4">
        <v>3</v>
      </c>
      <c r="J4">
        <v>25.9</v>
      </c>
      <c r="K4">
        <v>161.75</v>
      </c>
      <c r="L4">
        <v>30</v>
      </c>
      <c r="M4">
        <v>0.1</v>
      </c>
      <c r="N4">
        <v>2300</v>
      </c>
      <c r="O4">
        <v>2256.453553530313</v>
      </c>
      <c r="V4">
        <v>4.2</v>
      </c>
      <c r="W4">
        <v>0.15</v>
      </c>
      <c r="X4">
        <v>634.10028277356776</v>
      </c>
      <c r="Z4">
        <v>2464.823532250588</v>
      </c>
      <c r="AA4">
        <v>2465.2934202797192</v>
      </c>
    </row>
    <row r="5" spans="1:32" x14ac:dyDescent="0.3">
      <c r="B5" t="s">
        <v>40</v>
      </c>
      <c r="C5" t="s">
        <v>33</v>
      </c>
      <c r="D5" t="s">
        <v>34</v>
      </c>
      <c r="E5">
        <v>4</v>
      </c>
      <c r="J5">
        <v>25.9</v>
      </c>
      <c r="K5">
        <v>161.85</v>
      </c>
      <c r="L5">
        <v>30</v>
      </c>
      <c r="M5">
        <v>0.1</v>
      </c>
      <c r="N5">
        <v>2300</v>
      </c>
      <c r="O5">
        <v>2256.453553530313</v>
      </c>
      <c r="V5">
        <v>4.2</v>
      </c>
      <c r="W5">
        <v>0.15</v>
      </c>
      <c r="X5">
        <v>633.65249459138533</v>
      </c>
      <c r="Z5">
        <v>2461.864499766009</v>
      </c>
      <c r="AA5">
        <v>2462.3304229744158</v>
      </c>
    </row>
    <row r="6" spans="1:32" x14ac:dyDescent="0.3">
      <c r="B6" t="s">
        <v>41</v>
      </c>
      <c r="C6" t="s">
        <v>33</v>
      </c>
      <c r="D6" t="s">
        <v>34</v>
      </c>
      <c r="E6">
        <v>5</v>
      </c>
      <c r="J6">
        <v>26</v>
      </c>
      <c r="K6">
        <v>161.05000000000001</v>
      </c>
      <c r="L6">
        <v>30</v>
      </c>
      <c r="M6">
        <v>0.1</v>
      </c>
      <c r="N6">
        <v>2300</v>
      </c>
      <c r="O6">
        <v>2256.5210498014421</v>
      </c>
      <c r="V6">
        <v>4.2</v>
      </c>
      <c r="W6">
        <v>0.15</v>
      </c>
      <c r="X6">
        <v>633.79197279957168</v>
      </c>
      <c r="Z6">
        <v>2463.0473468733398</v>
      </c>
      <c r="AA6">
        <v>2463.5141996718589</v>
      </c>
    </row>
    <row r="7" spans="1:32" x14ac:dyDescent="0.3">
      <c r="B7" t="s">
        <v>42</v>
      </c>
      <c r="C7" t="s">
        <v>33</v>
      </c>
      <c r="D7" t="s">
        <v>34</v>
      </c>
      <c r="E7">
        <v>6</v>
      </c>
      <c r="J7">
        <v>25.9</v>
      </c>
      <c r="K7">
        <v>160.55000000000001</v>
      </c>
      <c r="L7">
        <v>30</v>
      </c>
      <c r="M7">
        <v>0.1</v>
      </c>
      <c r="N7">
        <v>2300</v>
      </c>
      <c r="O7">
        <v>2256.453553530313</v>
      </c>
      <c r="V7">
        <v>4.2</v>
      </c>
      <c r="W7">
        <v>0.15</v>
      </c>
      <c r="X7">
        <v>633.60057748674592</v>
      </c>
      <c r="Z7">
        <v>2469.2003828960792</v>
      </c>
      <c r="AA7">
        <v>2469.6745521141011</v>
      </c>
    </row>
    <row r="8" spans="1:32" x14ac:dyDescent="0.3">
      <c r="B8" t="s">
        <v>43</v>
      </c>
      <c r="C8" t="s">
        <v>33</v>
      </c>
      <c r="D8" t="s">
        <v>34</v>
      </c>
      <c r="E8">
        <v>7</v>
      </c>
      <c r="J8">
        <v>26</v>
      </c>
      <c r="K8">
        <v>160.4</v>
      </c>
      <c r="L8">
        <v>30</v>
      </c>
      <c r="M8">
        <v>0.1</v>
      </c>
      <c r="N8">
        <v>2300</v>
      </c>
      <c r="O8">
        <v>2256.5210498014421</v>
      </c>
      <c r="V8">
        <v>4.2</v>
      </c>
      <c r="W8">
        <v>0.15</v>
      </c>
      <c r="X8">
        <v>633.80143722542323</v>
      </c>
      <c r="Z8">
        <v>2471.3460246950999</v>
      </c>
      <c r="AA8">
        <v>2471.8226196883761</v>
      </c>
    </row>
    <row r="9" spans="1:32" x14ac:dyDescent="0.3">
      <c r="B9" t="s">
        <v>44</v>
      </c>
      <c r="C9" t="s">
        <v>33</v>
      </c>
      <c r="D9" t="s">
        <v>34</v>
      </c>
      <c r="E9">
        <v>8</v>
      </c>
      <c r="H9" t="s">
        <v>45</v>
      </c>
      <c r="I9" t="s">
        <v>36</v>
      </c>
      <c r="J9">
        <v>25.9</v>
      </c>
      <c r="K9">
        <v>160.44999999999999</v>
      </c>
      <c r="L9">
        <v>30</v>
      </c>
      <c r="M9">
        <v>0.1</v>
      </c>
      <c r="N9">
        <v>2300</v>
      </c>
      <c r="O9">
        <v>2256.453553530313</v>
      </c>
      <c r="V9">
        <v>4.2</v>
      </c>
      <c r="W9">
        <v>0.15</v>
      </c>
    </row>
    <row r="10" spans="1:32" x14ac:dyDescent="0.3">
      <c r="B10" t="s">
        <v>46</v>
      </c>
      <c r="C10" t="s">
        <v>33</v>
      </c>
      <c r="D10" t="s">
        <v>34</v>
      </c>
      <c r="E10">
        <v>9</v>
      </c>
      <c r="J10">
        <v>26</v>
      </c>
      <c r="K10">
        <v>160.44999999999999</v>
      </c>
      <c r="L10">
        <v>30</v>
      </c>
      <c r="M10">
        <v>0.1</v>
      </c>
      <c r="N10">
        <v>2300</v>
      </c>
      <c r="O10">
        <v>2256.5210498014421</v>
      </c>
      <c r="V10">
        <v>4.2</v>
      </c>
      <c r="W10">
        <v>0.15</v>
      </c>
      <c r="X10">
        <v>633.80611101559543</v>
      </c>
      <c r="Z10">
        <v>2460.9816352092112</v>
      </c>
      <c r="AA10">
        <v>2461.4462583734339</v>
      </c>
    </row>
    <row r="11" spans="1:32" x14ac:dyDescent="0.3">
      <c r="B11" t="s">
        <v>47</v>
      </c>
      <c r="C11" t="s">
        <v>33</v>
      </c>
      <c r="D11" t="s">
        <v>34</v>
      </c>
      <c r="E11">
        <v>10</v>
      </c>
      <c r="J11">
        <v>26</v>
      </c>
      <c r="K11">
        <v>160.55000000000001</v>
      </c>
      <c r="L11">
        <v>30</v>
      </c>
      <c r="M11">
        <v>0.1</v>
      </c>
      <c r="N11">
        <v>2300</v>
      </c>
      <c r="O11">
        <v>2256.5210498014421</v>
      </c>
      <c r="V11">
        <v>4.2</v>
      </c>
      <c r="W11">
        <v>0.15</v>
      </c>
      <c r="X11">
        <v>633.9288775089592</v>
      </c>
      <c r="Z11">
        <v>2451.0681852720122</v>
      </c>
      <c r="AA11">
        <v>2451.5237230920138</v>
      </c>
    </row>
    <row r="12" spans="1:32" x14ac:dyDescent="0.3">
      <c r="B12" t="s">
        <v>48</v>
      </c>
      <c r="C12" t="s">
        <v>33</v>
      </c>
      <c r="D12" t="s">
        <v>34</v>
      </c>
      <c r="E12">
        <v>11</v>
      </c>
      <c r="J12">
        <v>26</v>
      </c>
      <c r="K12">
        <v>160.55000000000001</v>
      </c>
      <c r="L12">
        <v>30</v>
      </c>
      <c r="M12">
        <v>0.1</v>
      </c>
      <c r="N12">
        <v>2300</v>
      </c>
      <c r="O12">
        <v>2256.5210498014421</v>
      </c>
      <c r="V12">
        <v>4.2</v>
      </c>
      <c r="W12">
        <v>0.15</v>
      </c>
      <c r="X12">
        <v>634.13198113847704</v>
      </c>
      <c r="Z12">
        <v>2450.748676562333</v>
      </c>
      <c r="AA12">
        <v>2451.2024910089672</v>
      </c>
    </row>
    <row r="13" spans="1:32" x14ac:dyDescent="0.3">
      <c r="B13" t="s">
        <v>49</v>
      </c>
      <c r="C13" t="s">
        <v>50</v>
      </c>
      <c r="D13" t="s">
        <v>34</v>
      </c>
      <c r="E13">
        <v>1</v>
      </c>
      <c r="J13">
        <v>24.8</v>
      </c>
      <c r="K13">
        <v>166.75</v>
      </c>
      <c r="L13">
        <v>30</v>
      </c>
      <c r="M13">
        <v>0.1</v>
      </c>
      <c r="N13">
        <v>2300</v>
      </c>
      <c r="O13">
        <v>2255.7229115629489</v>
      </c>
      <c r="V13">
        <v>4.2</v>
      </c>
      <c r="W13">
        <v>0.15</v>
      </c>
      <c r="X13">
        <v>635.62254083101368</v>
      </c>
      <c r="Z13">
        <v>2368.8276292356709</v>
      </c>
      <c r="AA13">
        <v>2369.3780487071572</v>
      </c>
    </row>
    <row r="14" spans="1:32" x14ac:dyDescent="0.3">
      <c r="B14" t="s">
        <v>51</v>
      </c>
      <c r="C14" t="s">
        <v>50</v>
      </c>
      <c r="D14" t="s">
        <v>34</v>
      </c>
      <c r="E14">
        <v>2</v>
      </c>
      <c r="J14">
        <v>25</v>
      </c>
      <c r="K14">
        <v>168.65</v>
      </c>
      <c r="L14">
        <v>30</v>
      </c>
      <c r="M14">
        <v>0.1</v>
      </c>
      <c r="N14">
        <v>2300</v>
      </c>
      <c r="O14">
        <v>2255.8541370371968</v>
      </c>
      <c r="V14">
        <v>4.2</v>
      </c>
      <c r="W14">
        <v>0.15</v>
      </c>
      <c r="X14">
        <v>634.8839778547532</v>
      </c>
      <c r="Z14">
        <v>2378.3090701810679</v>
      </c>
      <c r="AA14">
        <v>2378.8736734566478</v>
      </c>
    </row>
    <row r="15" spans="1:32" x14ac:dyDescent="0.3">
      <c r="B15" t="s">
        <v>52</v>
      </c>
      <c r="C15" t="s">
        <v>50</v>
      </c>
      <c r="D15" t="s">
        <v>34</v>
      </c>
      <c r="E15">
        <v>3</v>
      </c>
      <c r="J15">
        <v>25.1</v>
      </c>
      <c r="K15">
        <v>168.05</v>
      </c>
      <c r="L15">
        <v>30</v>
      </c>
      <c r="M15">
        <v>0.1</v>
      </c>
      <c r="N15">
        <v>2300</v>
      </c>
      <c r="O15">
        <v>2255.9200204818621</v>
      </c>
      <c r="V15">
        <v>4.2</v>
      </c>
      <c r="W15">
        <v>0.15</v>
      </c>
      <c r="X15">
        <v>635.79174937938717</v>
      </c>
      <c r="Z15">
        <v>2378.3920129682192</v>
      </c>
      <c r="AA15">
        <v>2378.956755541758</v>
      </c>
    </row>
    <row r="16" spans="1:32" x14ac:dyDescent="0.3">
      <c r="B16" t="s">
        <v>53</v>
      </c>
      <c r="C16" t="s">
        <v>50</v>
      </c>
      <c r="D16" t="s">
        <v>34</v>
      </c>
      <c r="E16">
        <v>4</v>
      </c>
      <c r="J16">
        <v>25.2</v>
      </c>
      <c r="K16">
        <v>168.75</v>
      </c>
      <c r="L16">
        <v>30</v>
      </c>
      <c r="M16">
        <v>0.1</v>
      </c>
      <c r="N16">
        <v>2300</v>
      </c>
      <c r="O16">
        <v>2255.986084078414</v>
      </c>
      <c r="V16">
        <v>4.2</v>
      </c>
      <c r="W16">
        <v>0.15</v>
      </c>
      <c r="X16">
        <v>635.2199744001889</v>
      </c>
      <c r="Z16">
        <v>2379.2112025696661</v>
      </c>
      <c r="AA16">
        <v>2379.7790873880422</v>
      </c>
    </row>
    <row r="17" spans="2:27" x14ac:dyDescent="0.3">
      <c r="B17" t="s">
        <v>54</v>
      </c>
      <c r="C17" t="s">
        <v>50</v>
      </c>
      <c r="D17" t="s">
        <v>34</v>
      </c>
      <c r="E17">
        <v>5</v>
      </c>
      <c r="J17">
        <v>25.2</v>
      </c>
      <c r="K17">
        <v>167.75</v>
      </c>
      <c r="L17">
        <v>30</v>
      </c>
      <c r="M17">
        <v>0.1</v>
      </c>
      <c r="N17">
        <v>2300</v>
      </c>
      <c r="O17">
        <v>2255.986084078414</v>
      </c>
      <c r="V17">
        <v>4.2</v>
      </c>
      <c r="W17">
        <v>0.15</v>
      </c>
      <c r="X17">
        <v>634.99211533092523</v>
      </c>
      <c r="Z17">
        <v>2379.859505459247</v>
      </c>
      <c r="AA17">
        <v>2380.427060397808</v>
      </c>
    </row>
    <row r="18" spans="2:27" x14ac:dyDescent="0.3">
      <c r="B18" t="s">
        <v>55</v>
      </c>
      <c r="C18" t="s">
        <v>50</v>
      </c>
      <c r="D18" t="s">
        <v>34</v>
      </c>
      <c r="E18">
        <v>6</v>
      </c>
      <c r="J18">
        <v>25.2</v>
      </c>
      <c r="K18">
        <v>167</v>
      </c>
      <c r="L18">
        <v>30</v>
      </c>
      <c r="M18">
        <v>0.1</v>
      </c>
      <c r="N18">
        <v>2300</v>
      </c>
      <c r="O18">
        <v>2255.986084078414</v>
      </c>
      <c r="V18">
        <v>4.2</v>
      </c>
      <c r="W18">
        <v>0.15</v>
      </c>
      <c r="X18">
        <v>634.11696487307916</v>
      </c>
      <c r="Z18">
        <v>2382.548114006574</v>
      </c>
      <c r="AA18">
        <v>2383.1221525679371</v>
      </c>
    </row>
    <row r="19" spans="2:27" x14ac:dyDescent="0.3">
      <c r="B19" t="s">
        <v>56</v>
      </c>
      <c r="C19" t="s">
        <v>50</v>
      </c>
      <c r="D19" t="s">
        <v>34</v>
      </c>
      <c r="E19">
        <v>7</v>
      </c>
      <c r="J19">
        <v>25.2</v>
      </c>
      <c r="K19">
        <v>166.4</v>
      </c>
      <c r="L19">
        <v>30</v>
      </c>
      <c r="M19">
        <v>0.1</v>
      </c>
      <c r="N19">
        <v>2300</v>
      </c>
      <c r="O19">
        <v>2255.986084078414</v>
      </c>
      <c r="V19">
        <v>4.2</v>
      </c>
      <c r="W19">
        <v>0.15</v>
      </c>
      <c r="X19">
        <v>633.82479130982847</v>
      </c>
      <c r="Z19">
        <v>2381.7194352424099</v>
      </c>
      <c r="AA19">
        <v>2382.290757545321</v>
      </c>
    </row>
    <row r="20" spans="2:27" x14ac:dyDescent="0.3">
      <c r="B20" t="s">
        <v>57</v>
      </c>
      <c r="C20" t="s">
        <v>50</v>
      </c>
      <c r="D20" t="s">
        <v>34</v>
      </c>
      <c r="E20">
        <v>8</v>
      </c>
      <c r="J20">
        <v>25.2</v>
      </c>
      <c r="K20">
        <v>166.2</v>
      </c>
      <c r="L20">
        <v>30</v>
      </c>
      <c r="M20">
        <v>0.1</v>
      </c>
      <c r="N20">
        <v>2300</v>
      </c>
      <c r="O20">
        <v>2255.986084078414</v>
      </c>
      <c r="V20">
        <v>4.2</v>
      </c>
      <c r="W20">
        <v>0.15</v>
      </c>
      <c r="X20">
        <v>633.60308740439189</v>
      </c>
      <c r="Z20">
        <v>2381.520249540753</v>
      </c>
      <c r="AA20">
        <v>2382.0903488719409</v>
      </c>
    </row>
    <row r="21" spans="2:27" x14ac:dyDescent="0.3">
      <c r="B21" t="s">
        <v>58</v>
      </c>
      <c r="C21" t="s">
        <v>50</v>
      </c>
      <c r="D21" t="s">
        <v>34</v>
      </c>
      <c r="E21">
        <v>9</v>
      </c>
      <c r="J21">
        <v>25.2</v>
      </c>
      <c r="K21">
        <v>165.85</v>
      </c>
      <c r="L21">
        <v>30</v>
      </c>
      <c r="M21">
        <v>0.1</v>
      </c>
      <c r="N21">
        <v>2300</v>
      </c>
      <c r="O21">
        <v>2255.986084078414</v>
      </c>
      <c r="V21">
        <v>4.2</v>
      </c>
      <c r="W21">
        <v>0.15</v>
      </c>
      <c r="X21">
        <v>633.36675382709757</v>
      </c>
      <c r="Z21">
        <v>2385.1260020866048</v>
      </c>
      <c r="AA21">
        <v>2385.7030338880641</v>
      </c>
    </row>
    <row r="22" spans="2:27" x14ac:dyDescent="0.3">
      <c r="B22" t="s">
        <v>59</v>
      </c>
      <c r="C22" t="s">
        <v>50</v>
      </c>
      <c r="D22" t="s">
        <v>34</v>
      </c>
      <c r="E22">
        <v>10</v>
      </c>
      <c r="I22" t="s">
        <v>36</v>
      </c>
      <c r="J22">
        <v>25.2</v>
      </c>
      <c r="K22">
        <v>165.85</v>
      </c>
      <c r="L22">
        <v>30</v>
      </c>
      <c r="M22">
        <v>0.1</v>
      </c>
      <c r="N22">
        <v>2300</v>
      </c>
      <c r="O22">
        <v>2255.986084078414</v>
      </c>
      <c r="V22">
        <v>4.2</v>
      </c>
      <c r="W22">
        <v>0.15</v>
      </c>
      <c r="X22">
        <v>633.20903927829397</v>
      </c>
      <c r="Z22">
        <v>2380.7382135369999</v>
      </c>
      <c r="AA22">
        <v>2381.3069655385671</v>
      </c>
    </row>
    <row r="23" spans="2:27" x14ac:dyDescent="0.3">
      <c r="B23" t="s">
        <v>60</v>
      </c>
      <c r="C23" t="s">
        <v>50</v>
      </c>
      <c r="D23" t="s">
        <v>34</v>
      </c>
      <c r="E23">
        <v>11</v>
      </c>
      <c r="J23">
        <v>25.2</v>
      </c>
      <c r="K23">
        <v>165.85</v>
      </c>
      <c r="L23">
        <v>30</v>
      </c>
      <c r="M23">
        <v>0.1</v>
      </c>
      <c r="N23">
        <v>2300</v>
      </c>
      <c r="O23">
        <v>2255.986084078414</v>
      </c>
      <c r="Q23">
        <f>2029.3*N23/O23</f>
        <v>2068.8913078586925</v>
      </c>
      <c r="V23">
        <v>4.2</v>
      </c>
      <c r="W23">
        <v>0.15</v>
      </c>
      <c r="X23">
        <v>633.09107190718839</v>
      </c>
      <c r="Z23">
        <v>2379.9324359014931</v>
      </c>
      <c r="AA23">
        <v>2380.499045287635</v>
      </c>
    </row>
    <row r="24" spans="2:27" x14ac:dyDescent="0.3">
      <c r="B24" t="s">
        <v>61</v>
      </c>
      <c r="C24" t="s">
        <v>50</v>
      </c>
      <c r="D24" t="s">
        <v>34</v>
      </c>
      <c r="E24">
        <v>12</v>
      </c>
      <c r="J24">
        <v>25.2</v>
      </c>
      <c r="K24">
        <v>165.75</v>
      </c>
      <c r="L24">
        <v>30</v>
      </c>
      <c r="M24">
        <v>0.1</v>
      </c>
      <c r="N24">
        <v>2300</v>
      </c>
      <c r="O24">
        <v>2255.986084078414</v>
      </c>
      <c r="V24">
        <v>4.2</v>
      </c>
      <c r="W24">
        <v>0.15</v>
      </c>
      <c r="X24">
        <v>632.95847249931842</v>
      </c>
      <c r="Z24">
        <v>2382.4900204154142</v>
      </c>
      <c r="AA24">
        <v>2383.0631379730412</v>
      </c>
    </row>
    <row r="25" spans="2:27" x14ac:dyDescent="0.3">
      <c r="B25" t="s">
        <v>62</v>
      </c>
      <c r="C25" t="s">
        <v>63</v>
      </c>
      <c r="D25" t="s">
        <v>34</v>
      </c>
      <c r="E25">
        <v>1</v>
      </c>
      <c r="J25">
        <v>25.2</v>
      </c>
      <c r="K25">
        <v>169.95</v>
      </c>
      <c r="L25">
        <v>30</v>
      </c>
      <c r="M25">
        <v>0.1</v>
      </c>
      <c r="N25">
        <v>2300</v>
      </c>
      <c r="O25">
        <v>2255.986084078414</v>
      </c>
      <c r="W25">
        <v>0.15</v>
      </c>
      <c r="X25">
        <v>630.65726741228741</v>
      </c>
      <c r="Z25">
        <v>2365.0423912679248</v>
      </c>
      <c r="AA25">
        <v>2365.5849331188451</v>
      </c>
    </row>
    <row r="26" spans="2:27" x14ac:dyDescent="0.3">
      <c r="B26" t="s">
        <v>64</v>
      </c>
      <c r="C26" t="s">
        <v>63</v>
      </c>
      <c r="D26" t="s">
        <v>34</v>
      </c>
      <c r="E26">
        <v>2</v>
      </c>
      <c r="J26">
        <v>25.2</v>
      </c>
      <c r="K26">
        <v>169.45</v>
      </c>
      <c r="L26">
        <v>30</v>
      </c>
      <c r="M26">
        <v>0.1</v>
      </c>
      <c r="N26">
        <v>2300</v>
      </c>
      <c r="O26">
        <v>2255.986084078414</v>
      </c>
      <c r="W26">
        <v>0.15</v>
      </c>
      <c r="X26">
        <v>630.95506715307442</v>
      </c>
      <c r="Z26">
        <v>2335.474312385255</v>
      </c>
      <c r="AA26">
        <v>2335.973572859863</v>
      </c>
    </row>
    <row r="27" spans="2:27" x14ac:dyDescent="0.3">
      <c r="B27" t="s">
        <v>65</v>
      </c>
      <c r="C27" t="s">
        <v>63</v>
      </c>
      <c r="D27" t="s">
        <v>34</v>
      </c>
      <c r="E27">
        <v>3</v>
      </c>
      <c r="J27">
        <v>25.2</v>
      </c>
      <c r="K27">
        <v>169</v>
      </c>
      <c r="L27">
        <v>30</v>
      </c>
      <c r="M27">
        <v>0.1</v>
      </c>
      <c r="N27">
        <v>2300</v>
      </c>
      <c r="O27">
        <v>2255.986084078414</v>
      </c>
      <c r="W27">
        <v>0.15</v>
      </c>
      <c r="X27">
        <v>632.95851499730873</v>
      </c>
      <c r="Z27">
        <v>2350.6262862050821</v>
      </c>
      <c r="AA27">
        <v>2351.1448877322518</v>
      </c>
    </row>
    <row r="28" spans="2:27" x14ac:dyDescent="0.3">
      <c r="B28" t="s">
        <v>66</v>
      </c>
      <c r="C28" t="s">
        <v>67</v>
      </c>
      <c r="D28" t="s">
        <v>34</v>
      </c>
      <c r="E28">
        <v>2</v>
      </c>
      <c r="J28">
        <v>24.9</v>
      </c>
      <c r="K28">
        <v>170.25</v>
      </c>
      <c r="L28">
        <v>30</v>
      </c>
      <c r="M28">
        <v>0.1</v>
      </c>
      <c r="N28">
        <v>2318.7480999999998</v>
      </c>
      <c r="O28">
        <v>2274.1761501315468</v>
      </c>
      <c r="V28">
        <v>4.2</v>
      </c>
      <c r="W28">
        <v>0.15</v>
      </c>
      <c r="X28">
        <v>631.41852944808909</v>
      </c>
      <c r="Z28">
        <v>2353.0001178168659</v>
      </c>
      <c r="AA28">
        <v>2353.526902313195</v>
      </c>
    </row>
    <row r="29" spans="2:27" x14ac:dyDescent="0.3">
      <c r="B29" t="s">
        <v>68</v>
      </c>
      <c r="C29" t="s">
        <v>67</v>
      </c>
      <c r="D29" t="s">
        <v>34</v>
      </c>
      <c r="E29">
        <v>3</v>
      </c>
      <c r="J29">
        <v>25</v>
      </c>
      <c r="K29">
        <v>170.15</v>
      </c>
      <c r="L29">
        <v>30</v>
      </c>
      <c r="M29">
        <v>0.1</v>
      </c>
      <c r="N29">
        <v>2318.7480999999998</v>
      </c>
      <c r="O29">
        <v>2274.242388753104</v>
      </c>
      <c r="V29">
        <v>4.2</v>
      </c>
      <c r="W29">
        <v>0.15</v>
      </c>
      <c r="X29">
        <v>631.52616531121146</v>
      </c>
      <c r="Z29">
        <v>2346.0017218068692</v>
      </c>
      <c r="AA29">
        <v>2346.5180077152991</v>
      </c>
    </row>
    <row r="30" spans="2:27" x14ac:dyDescent="0.3">
      <c r="B30" t="s">
        <v>69</v>
      </c>
      <c r="C30" t="s">
        <v>67</v>
      </c>
      <c r="D30" t="s">
        <v>34</v>
      </c>
      <c r="E30">
        <v>4</v>
      </c>
      <c r="J30">
        <v>25</v>
      </c>
      <c r="K30">
        <v>169.75</v>
      </c>
      <c r="L30">
        <v>30</v>
      </c>
      <c r="M30">
        <v>0.1</v>
      </c>
      <c r="N30">
        <v>2318.7480999999998</v>
      </c>
      <c r="O30">
        <v>2274.242388753104</v>
      </c>
      <c r="V30">
        <v>2.25</v>
      </c>
      <c r="W30">
        <v>0.15</v>
      </c>
    </row>
    <row r="31" spans="2:27" x14ac:dyDescent="0.3">
      <c r="B31" t="s">
        <v>70</v>
      </c>
      <c r="C31" t="s">
        <v>67</v>
      </c>
      <c r="D31" t="s">
        <v>34</v>
      </c>
      <c r="E31">
        <v>5</v>
      </c>
      <c r="J31">
        <v>25</v>
      </c>
      <c r="K31">
        <v>169.15</v>
      </c>
      <c r="L31">
        <v>30</v>
      </c>
      <c r="M31">
        <v>0.1</v>
      </c>
      <c r="N31">
        <v>2318.7480999999998</v>
      </c>
      <c r="O31">
        <v>2274.242388753104</v>
      </c>
      <c r="V31">
        <v>1.2</v>
      </c>
      <c r="W31">
        <v>0.15</v>
      </c>
      <c r="X31">
        <v>457.42573879247249</v>
      </c>
      <c r="Z31">
        <v>292.81054470008542</v>
      </c>
      <c r="AA31">
        <v>293.50828195330507</v>
      </c>
    </row>
    <row r="32" spans="2:27" x14ac:dyDescent="0.3">
      <c r="B32" t="s">
        <v>71</v>
      </c>
      <c r="C32" t="s">
        <v>67</v>
      </c>
      <c r="D32" t="s">
        <v>34</v>
      </c>
      <c r="E32">
        <v>6</v>
      </c>
      <c r="J32">
        <v>25.1</v>
      </c>
      <c r="K32">
        <v>167.7</v>
      </c>
      <c r="L32">
        <v>30</v>
      </c>
      <c r="M32">
        <v>0.1</v>
      </c>
      <c r="N32">
        <v>2318.7480999999998</v>
      </c>
      <c r="O32">
        <v>2274.308809236642</v>
      </c>
      <c r="V32">
        <v>3.15</v>
      </c>
      <c r="W32">
        <v>0.15</v>
      </c>
      <c r="X32">
        <v>631.74330221189712</v>
      </c>
      <c r="Z32">
        <v>2353.784498973992</v>
      </c>
      <c r="AA32">
        <v>2354.516151707568</v>
      </c>
    </row>
    <row r="33" spans="2:32" x14ac:dyDescent="0.3">
      <c r="B33" t="s">
        <v>72</v>
      </c>
      <c r="C33" t="s">
        <v>67</v>
      </c>
      <c r="D33" t="s">
        <v>34</v>
      </c>
      <c r="E33">
        <v>7</v>
      </c>
      <c r="J33">
        <v>25.2</v>
      </c>
      <c r="K33">
        <v>167.25</v>
      </c>
      <c r="L33">
        <v>30</v>
      </c>
      <c r="M33">
        <v>0.1</v>
      </c>
      <c r="N33">
        <v>2318.7480999999998</v>
      </c>
      <c r="O33">
        <v>2274.375411340548</v>
      </c>
      <c r="V33">
        <v>3.6</v>
      </c>
      <c r="W33">
        <v>0.15</v>
      </c>
      <c r="X33">
        <v>631.77160006359975</v>
      </c>
      <c r="Z33">
        <v>2349.517143577757</v>
      </c>
      <c r="AA33">
        <v>2350.0741610478558</v>
      </c>
    </row>
    <row r="34" spans="2:32" x14ac:dyDescent="0.3">
      <c r="B34" t="s">
        <v>73</v>
      </c>
      <c r="C34" t="s">
        <v>67</v>
      </c>
      <c r="D34" t="s">
        <v>34</v>
      </c>
      <c r="E34">
        <v>8</v>
      </c>
      <c r="J34">
        <v>25.2</v>
      </c>
      <c r="K34">
        <v>165.95</v>
      </c>
      <c r="L34">
        <v>30</v>
      </c>
      <c r="M34">
        <v>0.1</v>
      </c>
      <c r="N34">
        <v>2318.7480999999998</v>
      </c>
      <c r="O34">
        <v>2274.375411340548</v>
      </c>
      <c r="V34">
        <v>4.8</v>
      </c>
      <c r="W34">
        <v>0.15</v>
      </c>
      <c r="X34">
        <v>631.70336805361489</v>
      </c>
      <c r="Z34">
        <v>2354.44864005931</v>
      </c>
      <c r="AA34">
        <v>2354.9775513610289</v>
      </c>
    </row>
    <row r="35" spans="2:32" x14ac:dyDescent="0.3">
      <c r="B35" t="s">
        <v>74</v>
      </c>
      <c r="C35" t="s">
        <v>67</v>
      </c>
      <c r="D35" t="s">
        <v>34</v>
      </c>
      <c r="E35">
        <v>9</v>
      </c>
      <c r="J35">
        <v>25.2</v>
      </c>
      <c r="K35">
        <v>164.95</v>
      </c>
      <c r="L35">
        <v>30</v>
      </c>
      <c r="M35">
        <v>0.1</v>
      </c>
      <c r="N35">
        <v>2318.7480999999998</v>
      </c>
      <c r="O35">
        <v>2274.375411340548</v>
      </c>
      <c r="V35">
        <v>4.2</v>
      </c>
      <c r="W35">
        <v>0.15</v>
      </c>
      <c r="X35">
        <v>631.75436169981049</v>
      </c>
      <c r="Z35">
        <v>2356.1650012195109</v>
      </c>
      <c r="AA35">
        <v>2356.6960386585888</v>
      </c>
    </row>
    <row r="36" spans="2:32" x14ac:dyDescent="0.3">
      <c r="B36" t="s">
        <v>75</v>
      </c>
      <c r="C36" t="s">
        <v>76</v>
      </c>
      <c r="D36" t="s">
        <v>34</v>
      </c>
      <c r="E36">
        <v>1</v>
      </c>
      <c r="J36">
        <v>24.7</v>
      </c>
      <c r="K36">
        <v>164.8</v>
      </c>
      <c r="L36">
        <v>30</v>
      </c>
      <c r="M36">
        <v>0.1</v>
      </c>
      <c r="N36">
        <v>2291.3800500000002</v>
      </c>
      <c r="O36">
        <v>2247.2038067669282</v>
      </c>
      <c r="R36">
        <v>821</v>
      </c>
      <c r="S36" t="s">
        <v>77</v>
      </c>
      <c r="T36">
        <v>4.2</v>
      </c>
      <c r="U36">
        <v>0.15</v>
      </c>
      <c r="V36">
        <v>4.2</v>
      </c>
      <c r="W36">
        <v>0.15</v>
      </c>
      <c r="X36">
        <v>631.28993070011029</v>
      </c>
      <c r="Z36">
        <v>2353.3209007140322</v>
      </c>
      <c r="AA36">
        <v>2353.8406690606562</v>
      </c>
    </row>
    <row r="37" spans="2:32" x14ac:dyDescent="0.3">
      <c r="B37" t="s">
        <v>78</v>
      </c>
      <c r="C37" t="s">
        <v>76</v>
      </c>
      <c r="D37" t="s">
        <v>34</v>
      </c>
      <c r="E37">
        <v>2</v>
      </c>
      <c r="J37">
        <v>25</v>
      </c>
      <c r="K37">
        <v>162.69999999999999</v>
      </c>
      <c r="L37">
        <v>30</v>
      </c>
      <c r="M37">
        <v>0.1</v>
      </c>
      <c r="N37">
        <v>2291.3800500000002</v>
      </c>
      <c r="O37">
        <v>2247.3996370943469</v>
      </c>
      <c r="R37">
        <v>555</v>
      </c>
      <c r="S37" t="s">
        <v>77</v>
      </c>
      <c r="T37">
        <v>2.25</v>
      </c>
      <c r="U37">
        <v>0.15</v>
      </c>
      <c r="V37">
        <v>2.25</v>
      </c>
      <c r="W37">
        <v>0.15</v>
      </c>
      <c r="X37">
        <v>521.12043460940311</v>
      </c>
      <c r="Z37">
        <v>1473.017944390039</v>
      </c>
      <c r="AA37">
        <v>1473.9676953059411</v>
      </c>
    </row>
    <row r="38" spans="2:32" x14ac:dyDescent="0.3">
      <c r="B38" t="s">
        <v>79</v>
      </c>
      <c r="C38" t="s">
        <v>76</v>
      </c>
      <c r="D38" t="s">
        <v>34</v>
      </c>
      <c r="E38">
        <v>3</v>
      </c>
      <c r="J38">
        <v>25</v>
      </c>
      <c r="K38">
        <v>162.05000000000001</v>
      </c>
      <c r="L38">
        <v>30</v>
      </c>
      <c r="M38">
        <v>0.1</v>
      </c>
      <c r="N38">
        <v>2291.3800500000002</v>
      </c>
      <c r="O38">
        <v>2247.3996370943469</v>
      </c>
      <c r="T38">
        <v>1.2</v>
      </c>
      <c r="U38">
        <v>0.15</v>
      </c>
      <c r="V38">
        <v>1.2</v>
      </c>
      <c r="W38">
        <v>0.15</v>
      </c>
      <c r="X38">
        <v>457.16132837293281</v>
      </c>
      <c r="Z38">
        <v>315.6932700305058</v>
      </c>
      <c r="AA38">
        <v>316.44527370375539</v>
      </c>
    </row>
    <row r="39" spans="2:32" x14ac:dyDescent="0.3">
      <c r="B39" t="s">
        <v>80</v>
      </c>
      <c r="C39" t="s">
        <v>76</v>
      </c>
      <c r="D39" t="s">
        <v>34</v>
      </c>
      <c r="E39">
        <v>4</v>
      </c>
      <c r="J39">
        <v>25.2</v>
      </c>
      <c r="K39">
        <v>160.94999999999999</v>
      </c>
      <c r="L39">
        <v>30</v>
      </c>
      <c r="M39">
        <v>0.1</v>
      </c>
      <c r="N39">
        <v>2291.3800500000002</v>
      </c>
      <c r="O39">
        <v>2247.5310896238698</v>
      </c>
      <c r="T39">
        <v>1.2</v>
      </c>
      <c r="U39">
        <v>0.15</v>
      </c>
      <c r="V39">
        <v>1.2</v>
      </c>
      <c r="W39">
        <v>0.15</v>
      </c>
      <c r="X39">
        <v>457.24677040200447</v>
      </c>
      <c r="Z39">
        <v>321.15585642972138</v>
      </c>
      <c r="AA39">
        <v>321.92057616761798</v>
      </c>
    </row>
    <row r="40" spans="2:32" x14ac:dyDescent="0.3">
      <c r="B40" t="s">
        <v>81</v>
      </c>
      <c r="C40" t="s">
        <v>76</v>
      </c>
      <c r="D40" t="s">
        <v>34</v>
      </c>
      <c r="E40">
        <v>5</v>
      </c>
      <c r="J40">
        <v>25.2</v>
      </c>
      <c r="K40">
        <v>160.65</v>
      </c>
      <c r="L40">
        <v>30</v>
      </c>
      <c r="M40">
        <v>0.1</v>
      </c>
      <c r="N40">
        <v>2291.3800500000002</v>
      </c>
      <c r="O40">
        <v>2247.5310896238698</v>
      </c>
      <c r="T40">
        <v>1.2</v>
      </c>
      <c r="U40">
        <v>0.15</v>
      </c>
      <c r="V40">
        <v>1.2</v>
      </c>
      <c r="W40">
        <v>0.15</v>
      </c>
      <c r="X40">
        <v>457.25215201077788</v>
      </c>
      <c r="Z40">
        <v>321.58266028624831</v>
      </c>
      <c r="AA40">
        <v>322.35424204536741</v>
      </c>
    </row>
    <row r="41" spans="2:32" x14ac:dyDescent="0.3">
      <c r="B41" t="s">
        <v>82</v>
      </c>
      <c r="C41" t="s">
        <v>76</v>
      </c>
      <c r="D41" t="s">
        <v>34</v>
      </c>
      <c r="E41">
        <v>7</v>
      </c>
      <c r="J41">
        <v>25.2</v>
      </c>
      <c r="K41">
        <v>160.05000000000001</v>
      </c>
      <c r="L41">
        <v>30</v>
      </c>
      <c r="M41">
        <v>0.1</v>
      </c>
      <c r="N41">
        <v>2291.3800500000002</v>
      </c>
      <c r="O41">
        <v>2247.5310896238698</v>
      </c>
      <c r="R41">
        <v>539</v>
      </c>
      <c r="S41" t="s">
        <v>77</v>
      </c>
      <c r="T41">
        <v>2.25</v>
      </c>
      <c r="U41">
        <v>0.15</v>
      </c>
      <c r="V41">
        <v>2.25</v>
      </c>
      <c r="W41">
        <v>0.15</v>
      </c>
      <c r="X41">
        <v>516.48782380465514</v>
      </c>
      <c r="Z41">
        <v>1380.741623589337</v>
      </c>
      <c r="AA41">
        <v>1381.7065763197461</v>
      </c>
    </row>
    <row r="42" spans="2:32" x14ac:dyDescent="0.3">
      <c r="B42" t="s">
        <v>83</v>
      </c>
      <c r="C42" t="s">
        <v>76</v>
      </c>
      <c r="D42" t="s">
        <v>34</v>
      </c>
      <c r="E42">
        <v>8</v>
      </c>
      <c r="J42">
        <v>25.21</v>
      </c>
      <c r="K42">
        <v>159.65</v>
      </c>
      <c r="L42">
        <v>30</v>
      </c>
      <c r="M42">
        <v>0.1</v>
      </c>
      <c r="N42">
        <v>2291.3800500000002</v>
      </c>
      <c r="O42">
        <v>2247.5376810862308</v>
      </c>
      <c r="R42">
        <v>548</v>
      </c>
      <c r="S42" t="s">
        <v>77</v>
      </c>
      <c r="T42">
        <v>2.25</v>
      </c>
      <c r="U42">
        <v>0.15</v>
      </c>
      <c r="V42">
        <v>2.25</v>
      </c>
      <c r="W42">
        <v>0.15</v>
      </c>
      <c r="X42">
        <v>516.07879075957794</v>
      </c>
      <c r="Z42">
        <v>1378.106180180336</v>
      </c>
      <c r="AA42">
        <v>1379.0636853083431</v>
      </c>
    </row>
    <row r="43" spans="2:32" x14ac:dyDescent="0.3">
      <c r="B43" t="s">
        <v>84</v>
      </c>
      <c r="C43" t="s">
        <v>76</v>
      </c>
      <c r="D43" t="s">
        <v>34</v>
      </c>
      <c r="E43">
        <v>9</v>
      </c>
      <c r="J43">
        <v>25</v>
      </c>
      <c r="K43">
        <v>159.35</v>
      </c>
      <c r="L43">
        <v>30</v>
      </c>
      <c r="M43">
        <v>0.1</v>
      </c>
      <c r="N43">
        <v>2291.3800500000002</v>
      </c>
      <c r="O43">
        <v>2247.3996370943469</v>
      </c>
      <c r="R43">
        <v>561</v>
      </c>
      <c r="S43" t="s">
        <v>77</v>
      </c>
      <c r="T43">
        <v>2.25</v>
      </c>
      <c r="U43">
        <v>0.15</v>
      </c>
      <c r="V43">
        <v>2.25</v>
      </c>
      <c r="W43">
        <v>0.15</v>
      </c>
      <c r="X43">
        <v>515.57439960168722</v>
      </c>
      <c r="Z43">
        <v>1375.3207063874961</v>
      </c>
      <c r="AA43">
        <v>1376.2698085921641</v>
      </c>
    </row>
    <row r="44" spans="2:32" x14ac:dyDescent="0.3">
      <c r="B44" t="s">
        <v>85</v>
      </c>
      <c r="C44" t="s">
        <v>76</v>
      </c>
      <c r="D44" t="s">
        <v>34</v>
      </c>
      <c r="E44">
        <v>10</v>
      </c>
      <c r="J44">
        <v>25</v>
      </c>
      <c r="K44">
        <v>159.25</v>
      </c>
      <c r="L44">
        <v>30</v>
      </c>
      <c r="M44">
        <v>0.1</v>
      </c>
      <c r="N44">
        <v>2291.3800500000002</v>
      </c>
      <c r="O44">
        <v>2247.3996370943469</v>
      </c>
      <c r="R44">
        <v>697</v>
      </c>
      <c r="T44">
        <v>3.15</v>
      </c>
      <c r="U44">
        <v>0.15</v>
      </c>
      <c r="V44">
        <v>3.15</v>
      </c>
      <c r="W44">
        <v>0.15</v>
      </c>
      <c r="X44">
        <v>631.87040448392725</v>
      </c>
      <c r="Z44">
        <v>2371.524077623189</v>
      </c>
      <c r="AA44">
        <v>2372.2945507453628</v>
      </c>
    </row>
    <row r="45" spans="2:32" x14ac:dyDescent="0.3">
      <c r="B45" t="s">
        <v>86</v>
      </c>
      <c r="C45" t="s">
        <v>76</v>
      </c>
      <c r="D45" t="s">
        <v>34</v>
      </c>
      <c r="E45">
        <v>11</v>
      </c>
      <c r="J45">
        <v>25.1</v>
      </c>
      <c r="K45">
        <v>159.05000000000001</v>
      </c>
      <c r="L45">
        <v>30</v>
      </c>
      <c r="M45">
        <v>0.1</v>
      </c>
      <c r="N45">
        <v>2291.3800500000002</v>
      </c>
      <c r="O45">
        <v>2247.4652736207522</v>
      </c>
      <c r="R45">
        <v>690</v>
      </c>
      <c r="T45">
        <v>3.15</v>
      </c>
      <c r="U45">
        <v>0.15</v>
      </c>
      <c r="V45">
        <v>3.15</v>
      </c>
      <c r="W45">
        <v>0.15</v>
      </c>
      <c r="X45">
        <v>631.8269032083914</v>
      </c>
      <c r="Z45">
        <v>2370.2388154803989</v>
      </c>
      <c r="AA45">
        <v>2371.0065608492009</v>
      </c>
    </row>
    <row r="46" spans="2:32" x14ac:dyDescent="0.3">
      <c r="B46" t="s">
        <v>87</v>
      </c>
      <c r="C46" t="s">
        <v>76</v>
      </c>
      <c r="D46" t="s">
        <v>34</v>
      </c>
      <c r="E46">
        <v>12</v>
      </c>
      <c r="J46">
        <v>24.8</v>
      </c>
      <c r="K46">
        <v>158.80000000000001</v>
      </c>
      <c r="L46">
        <v>30</v>
      </c>
      <c r="M46">
        <v>0.1</v>
      </c>
      <c r="N46">
        <v>2291.3800500000002</v>
      </c>
      <c r="O46">
        <v>2247.2689034275022</v>
      </c>
      <c r="R46">
        <v>803</v>
      </c>
      <c r="T46">
        <v>4.2</v>
      </c>
      <c r="U46">
        <v>0.15</v>
      </c>
      <c r="V46">
        <v>4.2</v>
      </c>
      <c r="W46">
        <v>0.15</v>
      </c>
      <c r="X46">
        <v>631.57604723981319</v>
      </c>
      <c r="Z46">
        <v>2370.1134170442979</v>
      </c>
      <c r="AA46">
        <v>2370.6613934554248</v>
      </c>
    </row>
    <row r="47" spans="2:32" x14ac:dyDescent="0.3">
      <c r="B47" t="s">
        <v>88</v>
      </c>
      <c r="C47" t="s">
        <v>76</v>
      </c>
      <c r="D47" t="s">
        <v>34</v>
      </c>
      <c r="E47">
        <v>13</v>
      </c>
      <c r="J47">
        <v>25</v>
      </c>
      <c r="K47">
        <v>158.65</v>
      </c>
      <c r="L47">
        <v>30</v>
      </c>
      <c r="M47">
        <v>0.1</v>
      </c>
      <c r="N47">
        <v>2291.3800500000002</v>
      </c>
      <c r="O47">
        <v>2247.3996370943469</v>
      </c>
      <c r="T47">
        <v>4.2</v>
      </c>
      <c r="U47">
        <v>0.15</v>
      </c>
      <c r="V47">
        <v>4.2</v>
      </c>
      <c r="W47">
        <v>0.15</v>
      </c>
      <c r="X47">
        <v>631.7422003726557</v>
      </c>
      <c r="Z47">
        <v>2372.1574245554939</v>
      </c>
      <c r="AA47">
        <v>2372.7084622496941</v>
      </c>
    </row>
    <row r="48" spans="2:32" x14ac:dyDescent="0.3">
      <c r="B48" t="s">
        <v>89</v>
      </c>
      <c r="C48" t="s">
        <v>90</v>
      </c>
      <c r="D48" t="s">
        <v>34</v>
      </c>
      <c r="E48">
        <v>1</v>
      </c>
      <c r="G48">
        <v>37</v>
      </c>
      <c r="J48">
        <v>24</v>
      </c>
      <c r="K48">
        <v>170.95</v>
      </c>
      <c r="L48">
        <v>30</v>
      </c>
      <c r="M48">
        <v>0.1</v>
      </c>
      <c r="N48">
        <v>2313.2669299999998</v>
      </c>
      <c r="O48">
        <v>2268.2138077088712</v>
      </c>
      <c r="P48">
        <v>1580.984097649683</v>
      </c>
      <c r="R48">
        <v>785</v>
      </c>
      <c r="V48">
        <v>4.2</v>
      </c>
      <c r="W48">
        <v>0.15</v>
      </c>
      <c r="X48">
        <v>632.60562268760941</v>
      </c>
      <c r="Z48">
        <v>2143.814483283822</v>
      </c>
      <c r="AA48">
        <v>2144.5399111882239</v>
      </c>
      <c r="AF48">
        <v>1612.3869</v>
      </c>
    </row>
    <row r="49" spans="2:32" x14ac:dyDescent="0.3">
      <c r="B49" t="s">
        <v>91</v>
      </c>
      <c r="C49" t="s">
        <v>90</v>
      </c>
      <c r="D49" t="s">
        <v>34</v>
      </c>
      <c r="E49">
        <v>2</v>
      </c>
      <c r="G49">
        <v>42</v>
      </c>
      <c r="J49">
        <v>25.9</v>
      </c>
      <c r="K49">
        <v>171.75</v>
      </c>
      <c r="L49">
        <v>30</v>
      </c>
      <c r="M49">
        <v>0.1</v>
      </c>
      <c r="N49">
        <v>2313.2669299999998</v>
      </c>
      <c r="O49">
        <v>2269.469297592459</v>
      </c>
      <c r="P49">
        <v>1541.750145172344</v>
      </c>
      <c r="R49">
        <v>778</v>
      </c>
      <c r="V49">
        <v>4.2</v>
      </c>
      <c r="W49">
        <v>0.15</v>
      </c>
      <c r="X49">
        <v>634.85184379302598</v>
      </c>
      <c r="Z49">
        <v>2186.2438182789801</v>
      </c>
      <c r="AA49">
        <v>2186.74567985669</v>
      </c>
      <c r="AF49">
        <v>1571.5038</v>
      </c>
    </row>
    <row r="50" spans="2:32" x14ac:dyDescent="0.3">
      <c r="B50" t="s">
        <v>92</v>
      </c>
      <c r="C50" t="s">
        <v>90</v>
      </c>
      <c r="D50" t="s">
        <v>34</v>
      </c>
      <c r="E50">
        <v>3</v>
      </c>
      <c r="J50">
        <v>25</v>
      </c>
      <c r="K50">
        <v>171.4</v>
      </c>
      <c r="L50">
        <v>30</v>
      </c>
      <c r="M50">
        <v>0.1</v>
      </c>
      <c r="N50">
        <v>2313.2669299999998</v>
      </c>
      <c r="O50">
        <v>2268.8664235268848</v>
      </c>
      <c r="V50">
        <v>4.2</v>
      </c>
      <c r="W50">
        <v>0.15</v>
      </c>
      <c r="X50">
        <v>633.57939368025461</v>
      </c>
      <c r="Z50">
        <v>2197.2303966443278</v>
      </c>
      <c r="AA50">
        <v>2197.748137668716</v>
      </c>
    </row>
    <row r="51" spans="2:32" x14ac:dyDescent="0.3">
      <c r="B51" t="s">
        <v>93</v>
      </c>
      <c r="C51" t="s">
        <v>90</v>
      </c>
      <c r="D51" t="s">
        <v>34</v>
      </c>
      <c r="E51">
        <v>4</v>
      </c>
      <c r="G51">
        <v>46</v>
      </c>
      <c r="J51">
        <v>25.1</v>
      </c>
      <c r="K51">
        <v>171.35</v>
      </c>
      <c r="L51">
        <v>30</v>
      </c>
      <c r="M51">
        <v>0.1</v>
      </c>
      <c r="N51">
        <v>2313.2669299999998</v>
      </c>
      <c r="O51">
        <v>2268.9326870024411</v>
      </c>
      <c r="P51">
        <v>1499.166451186826</v>
      </c>
      <c r="Q51">
        <v>3</v>
      </c>
      <c r="R51">
        <v>783</v>
      </c>
      <c r="V51">
        <v>4.2</v>
      </c>
      <c r="W51">
        <v>0.15</v>
      </c>
      <c r="X51">
        <v>632.04645331171571</v>
      </c>
      <c r="Z51">
        <v>2334.2823533109122</v>
      </c>
      <c r="AA51">
        <v>2334.7817895273688</v>
      </c>
      <c r="AF51">
        <v>1528.4597000000001</v>
      </c>
    </row>
    <row r="52" spans="2:32" x14ac:dyDescent="0.3">
      <c r="B52" t="s">
        <v>94</v>
      </c>
      <c r="C52" t="s">
        <v>90</v>
      </c>
      <c r="D52" t="s">
        <v>34</v>
      </c>
      <c r="E52">
        <v>5</v>
      </c>
      <c r="G52">
        <v>51</v>
      </c>
      <c r="J52">
        <v>25.1</v>
      </c>
      <c r="K52">
        <v>171.1</v>
      </c>
      <c r="L52">
        <v>30</v>
      </c>
      <c r="M52">
        <v>0.1</v>
      </c>
      <c r="N52">
        <v>2313.2669299999998</v>
      </c>
      <c r="O52">
        <v>2268.9326870024411</v>
      </c>
      <c r="P52">
        <v>1538.965686438605</v>
      </c>
      <c r="Q52">
        <v>4</v>
      </c>
      <c r="V52">
        <v>4.2</v>
      </c>
      <c r="W52">
        <v>0.15</v>
      </c>
      <c r="X52">
        <v>632.08235723163341</v>
      </c>
      <c r="Z52">
        <v>2335.031579826988</v>
      </c>
      <c r="AA52">
        <v>2335.5314963921501</v>
      </c>
      <c r="AF52">
        <v>1569.0365999999999</v>
      </c>
    </row>
    <row r="53" spans="2:32" x14ac:dyDescent="0.3">
      <c r="B53" t="s">
        <v>95</v>
      </c>
      <c r="C53" t="s">
        <v>90</v>
      </c>
      <c r="D53" t="s">
        <v>34</v>
      </c>
      <c r="E53">
        <v>7</v>
      </c>
      <c r="J53">
        <v>25.2</v>
      </c>
      <c r="K53">
        <v>170.85</v>
      </c>
      <c r="L53">
        <v>30</v>
      </c>
      <c r="M53">
        <v>0.1</v>
      </c>
      <c r="N53">
        <v>2313.2669299999998</v>
      </c>
      <c r="O53">
        <v>2268.9991316690412</v>
      </c>
      <c r="V53">
        <v>2.25</v>
      </c>
      <c r="W53">
        <v>0.15</v>
      </c>
    </row>
    <row r="54" spans="2:32" x14ac:dyDescent="0.3">
      <c r="B54" t="s">
        <v>96</v>
      </c>
      <c r="C54" t="s">
        <v>90</v>
      </c>
      <c r="D54" t="s">
        <v>34</v>
      </c>
      <c r="E54">
        <v>8</v>
      </c>
      <c r="G54">
        <v>54</v>
      </c>
      <c r="J54">
        <v>25.2</v>
      </c>
      <c r="K54">
        <v>170.35</v>
      </c>
      <c r="L54">
        <v>30</v>
      </c>
      <c r="M54">
        <v>0.1</v>
      </c>
      <c r="N54">
        <v>2313.2669299999998</v>
      </c>
      <c r="O54">
        <v>2268.9991316690412</v>
      </c>
      <c r="P54">
        <v>1882.918667758292</v>
      </c>
      <c r="R54">
        <v>533</v>
      </c>
      <c r="V54">
        <v>2.25</v>
      </c>
      <c r="W54">
        <v>0.15</v>
      </c>
      <c r="AF54">
        <v>1919.6541</v>
      </c>
    </row>
    <row r="55" spans="2:32" x14ac:dyDescent="0.3">
      <c r="B55" t="s">
        <v>97</v>
      </c>
      <c r="C55" t="s">
        <v>90</v>
      </c>
      <c r="D55" t="s">
        <v>34</v>
      </c>
      <c r="E55">
        <v>9</v>
      </c>
      <c r="G55">
        <v>55</v>
      </c>
      <c r="J55">
        <v>25.2</v>
      </c>
      <c r="K55">
        <v>170.2</v>
      </c>
      <c r="L55">
        <v>30</v>
      </c>
      <c r="M55">
        <v>0.1</v>
      </c>
      <c r="N55">
        <v>2313.2669299999998</v>
      </c>
      <c r="O55">
        <v>2268.9991316690412</v>
      </c>
      <c r="P55">
        <v>1900.794316797718</v>
      </c>
      <c r="V55">
        <v>2.25</v>
      </c>
      <c r="W55">
        <v>0.15</v>
      </c>
      <c r="AF55">
        <v>1937.8785</v>
      </c>
    </row>
    <row r="56" spans="2:32" x14ac:dyDescent="0.3">
      <c r="B56" t="s">
        <v>98</v>
      </c>
      <c r="C56" t="s">
        <v>99</v>
      </c>
      <c r="D56" t="s">
        <v>34</v>
      </c>
      <c r="E56">
        <v>1</v>
      </c>
      <c r="G56">
        <v>59</v>
      </c>
      <c r="J56">
        <v>24.7</v>
      </c>
      <c r="K56">
        <v>170.05</v>
      </c>
      <c r="L56">
        <v>30</v>
      </c>
      <c r="M56">
        <v>0.1</v>
      </c>
      <c r="N56">
        <v>2283.7085999999999</v>
      </c>
      <c r="O56">
        <v>2239.6802570862792</v>
      </c>
      <c r="P56">
        <v>519.2969954085205</v>
      </c>
      <c r="Q56">
        <v>40</v>
      </c>
      <c r="R56">
        <v>788</v>
      </c>
      <c r="V56">
        <v>4.2</v>
      </c>
      <c r="W56">
        <v>0.15</v>
      </c>
      <c r="X56">
        <v>631.53373817731153</v>
      </c>
      <c r="Z56">
        <v>2294.7046236665842</v>
      </c>
      <c r="AA56">
        <v>2295.4234984806012</v>
      </c>
      <c r="AF56">
        <v>529.50549999999998</v>
      </c>
    </row>
    <row r="57" spans="2:32" x14ac:dyDescent="0.3">
      <c r="B57" t="s">
        <v>100</v>
      </c>
      <c r="C57" t="s">
        <v>99</v>
      </c>
      <c r="D57" t="s">
        <v>34</v>
      </c>
      <c r="E57">
        <v>2</v>
      </c>
      <c r="G57">
        <v>61</v>
      </c>
      <c r="J57">
        <v>24.7</v>
      </c>
      <c r="K57">
        <v>169.75</v>
      </c>
      <c r="L57">
        <v>30</v>
      </c>
      <c r="M57">
        <v>0.1</v>
      </c>
      <c r="N57">
        <v>2283.7085999999999</v>
      </c>
      <c r="O57">
        <v>2239.6802570862792</v>
      </c>
      <c r="P57">
        <v>941.52255186799005</v>
      </c>
      <c r="Q57">
        <v>20</v>
      </c>
      <c r="V57">
        <v>4.2</v>
      </c>
      <c r="W57">
        <v>0.15</v>
      </c>
      <c r="X57">
        <v>631.65774835279569</v>
      </c>
      <c r="Z57">
        <v>2301.6334305163341</v>
      </c>
      <c r="AA57">
        <v>2302.0856583995519</v>
      </c>
      <c r="AF57">
        <v>960.03129999999999</v>
      </c>
    </row>
    <row r="58" spans="2:32" x14ac:dyDescent="0.3">
      <c r="B58" t="s">
        <v>101</v>
      </c>
      <c r="C58" t="s">
        <v>99</v>
      </c>
      <c r="D58" t="s">
        <v>34</v>
      </c>
      <c r="E58">
        <v>3</v>
      </c>
      <c r="G58">
        <v>62</v>
      </c>
      <c r="J58">
        <v>25.2</v>
      </c>
      <c r="K58">
        <v>169.9</v>
      </c>
      <c r="L58">
        <v>30</v>
      </c>
      <c r="M58">
        <v>0.1</v>
      </c>
      <c r="N58">
        <v>2283.7085999999999</v>
      </c>
      <c r="O58">
        <v>2240.0064442131288</v>
      </c>
      <c r="P58">
        <v>1284.798591662676</v>
      </c>
      <c r="Q58">
        <v>10</v>
      </c>
      <c r="R58">
        <v>732</v>
      </c>
      <c r="V58">
        <v>4.2</v>
      </c>
      <c r="W58">
        <v>0.15</v>
      </c>
      <c r="X58">
        <v>632.00658395410312</v>
      </c>
      <c r="Z58">
        <v>2301.870649353998</v>
      </c>
      <c r="AA58">
        <v>2302.3235292965242</v>
      </c>
      <c r="AF58">
        <v>1309.8648000000001</v>
      </c>
    </row>
    <row r="59" spans="2:32" x14ac:dyDescent="0.3">
      <c r="B59" t="s">
        <v>102</v>
      </c>
      <c r="C59" t="s">
        <v>99</v>
      </c>
      <c r="D59" t="s">
        <v>34</v>
      </c>
      <c r="E59">
        <v>4</v>
      </c>
      <c r="G59">
        <v>63</v>
      </c>
      <c r="J59">
        <v>25.2</v>
      </c>
      <c r="K59">
        <v>169.75</v>
      </c>
      <c r="L59">
        <v>30</v>
      </c>
      <c r="M59">
        <v>0.1</v>
      </c>
      <c r="N59">
        <v>2283.7085999999999</v>
      </c>
      <c r="O59">
        <v>2240.0064442131288</v>
      </c>
      <c r="P59">
        <v>1473.45523177103</v>
      </c>
      <c r="Q59">
        <v>5</v>
      </c>
      <c r="R59">
        <v>735</v>
      </c>
      <c r="V59">
        <v>4.2</v>
      </c>
      <c r="W59">
        <v>0.15</v>
      </c>
      <c r="X59">
        <v>631.95494452640798</v>
      </c>
      <c r="Z59">
        <v>2300.8490665920581</v>
      </c>
      <c r="AA59">
        <v>2301.301319690906</v>
      </c>
      <c r="AF59">
        <v>1502.2021</v>
      </c>
    </row>
    <row r="60" spans="2:32" x14ac:dyDescent="0.3">
      <c r="B60" t="s">
        <v>103</v>
      </c>
      <c r="C60" t="s">
        <v>99</v>
      </c>
      <c r="D60" t="s">
        <v>34</v>
      </c>
      <c r="E60">
        <v>5</v>
      </c>
      <c r="G60">
        <v>64</v>
      </c>
      <c r="J60">
        <v>25.1</v>
      </c>
      <c r="K60">
        <v>169.75</v>
      </c>
      <c r="L60">
        <v>30</v>
      </c>
      <c r="M60">
        <v>0.1</v>
      </c>
      <c r="N60">
        <v>2283.7085999999999</v>
      </c>
      <c r="O60">
        <v>2239.9408485593931</v>
      </c>
      <c r="P60">
        <v>1597.712099691973</v>
      </c>
      <c r="Q60">
        <v>2</v>
      </c>
      <c r="V60">
        <v>4.2</v>
      </c>
      <c r="W60">
        <v>0.15</v>
      </c>
      <c r="X60">
        <v>631.95409824109095</v>
      </c>
      <c r="Z60">
        <v>2299.7098163962819</v>
      </c>
      <c r="AA60">
        <v>2300.1599667140272</v>
      </c>
      <c r="AF60">
        <v>1628.9309000000001</v>
      </c>
    </row>
    <row r="61" spans="2:32" x14ac:dyDescent="0.3">
      <c r="B61" t="s">
        <v>104</v>
      </c>
      <c r="C61" t="s">
        <v>99</v>
      </c>
      <c r="D61" t="s">
        <v>34</v>
      </c>
      <c r="E61">
        <v>6</v>
      </c>
      <c r="G61">
        <v>65</v>
      </c>
      <c r="J61">
        <v>25.1</v>
      </c>
      <c r="K61">
        <v>169.65</v>
      </c>
      <c r="L61">
        <v>30</v>
      </c>
      <c r="M61">
        <v>0.1</v>
      </c>
      <c r="N61">
        <v>2283.7085999999999</v>
      </c>
      <c r="O61">
        <v>2239.9408485593931</v>
      </c>
      <c r="P61">
        <v>1650.7734964102481</v>
      </c>
      <c r="Q61">
        <v>0.5</v>
      </c>
      <c r="R61">
        <v>735</v>
      </c>
      <c r="V61">
        <v>4.2</v>
      </c>
      <c r="W61">
        <v>0.15</v>
      </c>
      <c r="X61">
        <v>631.88915105697413</v>
      </c>
      <c r="Z61">
        <v>2296.8432373357218</v>
      </c>
      <c r="AA61">
        <v>2297.2916945101688</v>
      </c>
      <c r="AF61">
        <v>1683.0291</v>
      </c>
    </row>
    <row r="62" spans="2:32" x14ac:dyDescent="0.3">
      <c r="B62" t="s">
        <v>105</v>
      </c>
      <c r="C62" t="s">
        <v>99</v>
      </c>
      <c r="D62" t="s">
        <v>34</v>
      </c>
      <c r="E62">
        <v>7</v>
      </c>
      <c r="G62">
        <v>66</v>
      </c>
      <c r="J62">
        <v>25.1</v>
      </c>
      <c r="K62">
        <v>169.5</v>
      </c>
      <c r="L62">
        <v>30</v>
      </c>
      <c r="M62">
        <v>0.1</v>
      </c>
      <c r="N62">
        <v>2283.7085999999999</v>
      </c>
      <c r="O62">
        <v>2239.9408485593931</v>
      </c>
      <c r="P62">
        <v>1690.321539871919</v>
      </c>
      <c r="Q62">
        <v>0</v>
      </c>
      <c r="V62">
        <v>4.2</v>
      </c>
      <c r="W62">
        <v>0.15</v>
      </c>
      <c r="X62">
        <v>631.90012519082279</v>
      </c>
      <c r="Z62">
        <v>2300.2466367903821</v>
      </c>
      <c r="AA62">
        <v>2300.6980473045678</v>
      </c>
      <c r="AF62">
        <v>1723.3498999999999</v>
      </c>
    </row>
    <row r="63" spans="2:32" x14ac:dyDescent="0.3">
      <c r="B63" t="s">
        <v>106</v>
      </c>
      <c r="C63" t="s">
        <v>99</v>
      </c>
      <c r="D63" t="s">
        <v>34</v>
      </c>
      <c r="E63">
        <v>8</v>
      </c>
      <c r="G63">
        <v>67</v>
      </c>
      <c r="J63">
        <v>25.1</v>
      </c>
      <c r="K63">
        <v>169.55</v>
      </c>
      <c r="L63">
        <v>30</v>
      </c>
      <c r="M63">
        <v>0.1</v>
      </c>
      <c r="N63">
        <v>2283.7085999999999</v>
      </c>
      <c r="O63">
        <v>2239.9408485593931</v>
      </c>
      <c r="P63">
        <v>1620.840478326307</v>
      </c>
      <c r="Q63">
        <v>1</v>
      </c>
      <c r="R63">
        <v>750</v>
      </c>
      <c r="V63">
        <v>4.2</v>
      </c>
      <c r="W63">
        <v>0.15</v>
      </c>
      <c r="X63">
        <v>631.90287506517791</v>
      </c>
      <c r="Z63">
        <v>2299.148944467443</v>
      </c>
      <c r="AA63">
        <v>2299.5989866068562</v>
      </c>
      <c r="AF63">
        <v>1652.5111999999999</v>
      </c>
    </row>
    <row r="64" spans="2:32" x14ac:dyDescent="0.3">
      <c r="B64" t="s">
        <v>107</v>
      </c>
      <c r="C64" t="s">
        <v>108</v>
      </c>
      <c r="D64" t="s">
        <v>34</v>
      </c>
      <c r="E64">
        <v>1</v>
      </c>
      <c r="G64">
        <v>72</v>
      </c>
      <c r="J64">
        <v>25.1</v>
      </c>
      <c r="K64">
        <v>167.75</v>
      </c>
      <c r="L64">
        <v>30</v>
      </c>
      <c r="M64">
        <v>0.1</v>
      </c>
      <c r="N64">
        <v>2267.9422</v>
      </c>
      <c r="O64">
        <v>2224.476614902469</v>
      </c>
      <c r="P64">
        <v>1222.8782374366219</v>
      </c>
      <c r="Q64">
        <v>10</v>
      </c>
      <c r="R64">
        <v>767</v>
      </c>
      <c r="V64">
        <v>4.2</v>
      </c>
      <c r="W64">
        <v>0.15</v>
      </c>
      <c r="X64">
        <v>631.8657562523664</v>
      </c>
      <c r="Z64">
        <v>2296.8951588346099</v>
      </c>
      <c r="AA64">
        <v>2297.3393252886749</v>
      </c>
      <c r="AF64">
        <v>1246.7728999999999</v>
      </c>
    </row>
    <row r="65" spans="2:32" x14ac:dyDescent="0.3">
      <c r="B65" t="s">
        <v>109</v>
      </c>
      <c r="C65" t="s">
        <v>108</v>
      </c>
      <c r="D65" t="s">
        <v>34</v>
      </c>
      <c r="E65">
        <v>2</v>
      </c>
      <c r="G65">
        <v>74</v>
      </c>
      <c r="J65">
        <v>25.1</v>
      </c>
      <c r="K65">
        <v>167.85</v>
      </c>
      <c r="L65">
        <v>30</v>
      </c>
      <c r="M65">
        <v>0.1</v>
      </c>
      <c r="N65">
        <v>2267.9422</v>
      </c>
      <c r="O65">
        <v>2224.476614902469</v>
      </c>
      <c r="P65">
        <v>907.34790259621889</v>
      </c>
      <c r="Q65">
        <v>20</v>
      </c>
      <c r="R65">
        <v>701</v>
      </c>
      <c r="V65">
        <v>4.2</v>
      </c>
      <c r="W65">
        <v>0.15</v>
      </c>
      <c r="X65">
        <v>631.84123781773678</v>
      </c>
      <c r="Z65">
        <v>2297.1162683706948</v>
      </c>
      <c r="AA65">
        <v>2297.5622144235899</v>
      </c>
      <c r="AF65">
        <v>925.07719999999995</v>
      </c>
    </row>
    <row r="66" spans="2:32" x14ac:dyDescent="0.3">
      <c r="B66" t="s">
        <v>110</v>
      </c>
      <c r="C66" t="s">
        <v>108</v>
      </c>
      <c r="D66" t="s">
        <v>34</v>
      </c>
      <c r="E66">
        <v>3</v>
      </c>
      <c r="G66">
        <v>75</v>
      </c>
      <c r="J66">
        <v>25.1</v>
      </c>
      <c r="K66">
        <v>167.55</v>
      </c>
      <c r="L66">
        <v>30</v>
      </c>
      <c r="M66">
        <v>0.1</v>
      </c>
      <c r="N66">
        <v>2267.9422</v>
      </c>
      <c r="O66">
        <v>2224.476614902469</v>
      </c>
      <c r="P66">
        <v>1408.287301662589</v>
      </c>
      <c r="Q66">
        <v>5</v>
      </c>
      <c r="R66">
        <v>704</v>
      </c>
      <c r="V66">
        <v>4.2</v>
      </c>
      <c r="W66">
        <v>0.15</v>
      </c>
      <c r="X66">
        <v>631.84975519770865</v>
      </c>
      <c r="Z66">
        <v>2297.902215029841</v>
      </c>
      <c r="AA66">
        <v>2298.348162198758</v>
      </c>
      <c r="AF66">
        <v>1435.8047999999999</v>
      </c>
    </row>
    <row r="67" spans="2:32" x14ac:dyDescent="0.3">
      <c r="B67" t="s">
        <v>111</v>
      </c>
      <c r="C67" t="s">
        <v>108</v>
      </c>
      <c r="D67" t="s">
        <v>34</v>
      </c>
      <c r="E67">
        <v>4</v>
      </c>
      <c r="G67">
        <v>77</v>
      </c>
      <c r="J67">
        <v>25.2</v>
      </c>
      <c r="K67">
        <v>167.55</v>
      </c>
      <c r="L67">
        <v>30</v>
      </c>
      <c r="M67">
        <v>0.1</v>
      </c>
      <c r="N67">
        <v>2267.9422</v>
      </c>
      <c r="O67">
        <v>2224.5417576931231</v>
      </c>
      <c r="P67">
        <v>470.94866924084369</v>
      </c>
      <c r="Q67">
        <v>43</v>
      </c>
      <c r="R67">
        <v>694</v>
      </c>
      <c r="V67">
        <v>4.2</v>
      </c>
      <c r="W67">
        <v>0.15</v>
      </c>
      <c r="X67">
        <v>631.93562731648422</v>
      </c>
      <c r="Z67">
        <v>2298.7640390332558</v>
      </c>
      <c r="AA67">
        <v>2299.210465897927</v>
      </c>
      <c r="AF67">
        <v>480.13679999999999</v>
      </c>
    </row>
    <row r="68" spans="2:32" x14ac:dyDescent="0.3">
      <c r="B68" t="s">
        <v>112</v>
      </c>
      <c r="C68" t="s">
        <v>108</v>
      </c>
      <c r="D68" t="s">
        <v>34</v>
      </c>
      <c r="E68">
        <v>5</v>
      </c>
      <c r="G68">
        <v>79</v>
      </c>
      <c r="J68">
        <v>25.2</v>
      </c>
      <c r="K68">
        <v>167.4</v>
      </c>
      <c r="L68">
        <v>30</v>
      </c>
      <c r="M68">
        <v>0.1</v>
      </c>
      <c r="N68">
        <v>2267.9422</v>
      </c>
      <c r="O68">
        <v>2224.5417576931231</v>
      </c>
      <c r="P68">
        <v>49.543318047040117</v>
      </c>
      <c r="Q68">
        <v>140</v>
      </c>
      <c r="V68">
        <v>4.2</v>
      </c>
      <c r="W68">
        <v>0.15</v>
      </c>
      <c r="X68">
        <v>632.02188429183082</v>
      </c>
      <c r="Z68">
        <v>2303.064550827582</v>
      </c>
      <c r="AA68">
        <v>2303.5148299564662</v>
      </c>
      <c r="AF68">
        <v>50.509900000000002</v>
      </c>
    </row>
    <row r="69" spans="2:32" x14ac:dyDescent="0.3">
      <c r="B69" t="s">
        <v>113</v>
      </c>
      <c r="C69" t="s">
        <v>108</v>
      </c>
      <c r="D69" t="s">
        <v>34</v>
      </c>
      <c r="E69">
        <v>6</v>
      </c>
      <c r="G69">
        <v>80</v>
      </c>
      <c r="J69">
        <v>25.1</v>
      </c>
      <c r="K69">
        <v>166.65</v>
      </c>
      <c r="L69">
        <v>30</v>
      </c>
      <c r="M69">
        <v>0.1</v>
      </c>
      <c r="N69">
        <v>2267.9422</v>
      </c>
      <c r="O69">
        <v>2224.476614902469</v>
      </c>
      <c r="P69">
        <v>1631.057245848632</v>
      </c>
      <c r="Q69">
        <v>0</v>
      </c>
      <c r="V69">
        <v>4.2</v>
      </c>
      <c r="W69">
        <v>0.15</v>
      </c>
      <c r="X69">
        <v>631.90968663776084</v>
      </c>
      <c r="Z69">
        <v>2309.1247063758619</v>
      </c>
      <c r="AA69">
        <v>2309.582920259706</v>
      </c>
      <c r="AF69">
        <v>1662.9276</v>
      </c>
    </row>
    <row r="70" spans="2:32" x14ac:dyDescent="0.3">
      <c r="B70" t="s">
        <v>114</v>
      </c>
      <c r="C70" t="s">
        <v>108</v>
      </c>
      <c r="D70" t="s">
        <v>34</v>
      </c>
      <c r="E70">
        <v>7</v>
      </c>
      <c r="G70">
        <v>81</v>
      </c>
      <c r="J70">
        <v>25.2</v>
      </c>
      <c r="K70">
        <v>166.35</v>
      </c>
      <c r="L70">
        <v>30</v>
      </c>
      <c r="M70">
        <v>0.1</v>
      </c>
      <c r="N70">
        <v>2267.9422</v>
      </c>
      <c r="O70">
        <v>2224.5417576931231</v>
      </c>
      <c r="P70">
        <v>1028.2501101673629</v>
      </c>
      <c r="Q70">
        <v>15.5</v>
      </c>
      <c r="R70">
        <v>692</v>
      </c>
      <c r="V70">
        <v>4.2</v>
      </c>
      <c r="W70">
        <v>0.15</v>
      </c>
      <c r="X70">
        <v>631.99984467083766</v>
      </c>
      <c r="Z70">
        <v>2298.780658465238</v>
      </c>
      <c r="AA70">
        <v>2299.227089573928</v>
      </c>
      <c r="AF70">
        <v>1048.3110999999999</v>
      </c>
    </row>
    <row r="71" spans="2:32" x14ac:dyDescent="0.3">
      <c r="B71" t="s">
        <v>115</v>
      </c>
      <c r="C71" t="s">
        <v>116</v>
      </c>
      <c r="D71" t="s">
        <v>34</v>
      </c>
      <c r="E71">
        <v>1</v>
      </c>
      <c r="G71">
        <v>82</v>
      </c>
      <c r="J71">
        <v>24.7</v>
      </c>
      <c r="K71">
        <v>170.35</v>
      </c>
      <c r="L71">
        <v>30</v>
      </c>
      <c r="M71">
        <v>0.1</v>
      </c>
      <c r="N71">
        <v>2267.9422</v>
      </c>
      <c r="O71">
        <v>2224.217822515895</v>
      </c>
      <c r="P71">
        <v>1618.8740616398741</v>
      </c>
      <c r="Q71">
        <v>0.5</v>
      </c>
      <c r="R71">
        <v>686</v>
      </c>
      <c r="V71">
        <v>4.2</v>
      </c>
      <c r="W71">
        <v>0.15</v>
      </c>
      <c r="X71">
        <v>631.58930924786762</v>
      </c>
      <c r="Z71">
        <v>2297.1883484890791</v>
      </c>
      <c r="AA71">
        <v>2297.9096280598419</v>
      </c>
      <c r="AF71">
        <v>1650.6984</v>
      </c>
    </row>
    <row r="72" spans="2:32" x14ac:dyDescent="0.3">
      <c r="B72" t="s">
        <v>117</v>
      </c>
      <c r="C72" t="s">
        <v>116</v>
      </c>
      <c r="D72" t="s">
        <v>34</v>
      </c>
      <c r="E72">
        <v>2</v>
      </c>
      <c r="G72">
        <v>85</v>
      </c>
      <c r="J72">
        <v>25.1</v>
      </c>
      <c r="K72">
        <v>170.25</v>
      </c>
      <c r="L72">
        <v>30</v>
      </c>
      <c r="M72">
        <v>0.1</v>
      </c>
      <c r="N72">
        <v>2267.9422</v>
      </c>
      <c r="O72">
        <v>2224.476614902469</v>
      </c>
      <c r="P72">
        <v>916.10764003575002</v>
      </c>
      <c r="Q72">
        <v>20</v>
      </c>
      <c r="R72">
        <v>672</v>
      </c>
      <c r="V72">
        <v>4.2</v>
      </c>
      <c r="W72">
        <v>0.15</v>
      </c>
      <c r="X72">
        <v>632.01467843618025</v>
      </c>
      <c r="Z72">
        <v>2302.1126601933938</v>
      </c>
      <c r="AA72">
        <v>2302.5627502602438</v>
      </c>
      <c r="AF72">
        <v>934.00810000000001</v>
      </c>
    </row>
    <row r="73" spans="2:32" x14ac:dyDescent="0.3">
      <c r="B73" t="s">
        <v>118</v>
      </c>
      <c r="C73" t="s">
        <v>116</v>
      </c>
      <c r="D73" t="s">
        <v>34</v>
      </c>
      <c r="E73">
        <v>3</v>
      </c>
      <c r="J73">
        <v>24.8</v>
      </c>
      <c r="K73">
        <v>170.05</v>
      </c>
      <c r="L73">
        <v>30</v>
      </c>
      <c r="M73">
        <v>0.1</v>
      </c>
      <c r="N73">
        <v>2267.9422</v>
      </c>
      <c r="O73">
        <v>2224.2822533219469</v>
      </c>
      <c r="V73">
        <v>4.2</v>
      </c>
      <c r="W73">
        <v>0.15</v>
      </c>
      <c r="X73">
        <v>631.88796889912089</v>
      </c>
      <c r="Z73">
        <v>2305.8819181185281</v>
      </c>
      <c r="AA73">
        <v>2306.3344905644208</v>
      </c>
    </row>
    <row r="74" spans="2:32" x14ac:dyDescent="0.3">
      <c r="B74" t="s">
        <v>119</v>
      </c>
      <c r="C74" t="s">
        <v>116</v>
      </c>
      <c r="D74" t="s">
        <v>34</v>
      </c>
      <c r="E74">
        <v>4</v>
      </c>
      <c r="G74">
        <v>87</v>
      </c>
      <c r="J74">
        <v>24.8</v>
      </c>
      <c r="L74">
        <v>30</v>
      </c>
      <c r="M74">
        <v>0.1</v>
      </c>
      <c r="N74">
        <v>2267.9422</v>
      </c>
      <c r="O74">
        <v>2224.2822533219469</v>
      </c>
      <c r="P74">
        <v>1979.8620241908161</v>
      </c>
      <c r="Q74">
        <v>0.05</v>
      </c>
      <c r="R74">
        <v>50</v>
      </c>
      <c r="V74">
        <v>4.2</v>
      </c>
      <c r="W74">
        <v>4.2</v>
      </c>
      <c r="AF74">
        <v>2018.7243000000001</v>
      </c>
    </row>
    <row r="75" spans="2:32" x14ac:dyDescent="0.3">
      <c r="B75" t="s">
        <v>120</v>
      </c>
      <c r="C75" t="s">
        <v>116</v>
      </c>
      <c r="D75" t="s">
        <v>34</v>
      </c>
      <c r="E75">
        <v>5</v>
      </c>
      <c r="G75">
        <v>88</v>
      </c>
      <c r="J75">
        <v>24.9</v>
      </c>
      <c r="L75">
        <v>30</v>
      </c>
      <c r="M75">
        <v>0.1</v>
      </c>
      <c r="N75">
        <v>2267.9422</v>
      </c>
      <c r="O75">
        <v>2224.3468624801772</v>
      </c>
      <c r="P75">
        <v>1874.3021460594739</v>
      </c>
      <c r="Q75">
        <v>2</v>
      </c>
      <c r="R75">
        <v>50</v>
      </c>
      <c r="V75">
        <v>4.2</v>
      </c>
      <c r="W75">
        <v>4.2</v>
      </c>
      <c r="AF75">
        <v>1911.0369000000001</v>
      </c>
    </row>
    <row r="76" spans="2:32" x14ac:dyDescent="0.3">
      <c r="B76" t="s">
        <v>121</v>
      </c>
      <c r="C76" t="s">
        <v>116</v>
      </c>
      <c r="D76" t="s">
        <v>34</v>
      </c>
      <c r="E76">
        <v>6</v>
      </c>
      <c r="G76">
        <v>89</v>
      </c>
      <c r="J76">
        <v>25</v>
      </c>
      <c r="L76">
        <v>30</v>
      </c>
      <c r="M76">
        <v>0.1</v>
      </c>
      <c r="N76">
        <v>2267.9422</v>
      </c>
      <c r="O76">
        <v>2224.4116497527129</v>
      </c>
      <c r="P76">
        <v>1713.0404122799971</v>
      </c>
      <c r="Q76">
        <v>5</v>
      </c>
      <c r="R76">
        <v>50</v>
      </c>
      <c r="V76">
        <v>4.2</v>
      </c>
      <c r="W76">
        <v>4.2</v>
      </c>
      <c r="AF76">
        <v>1746.5636999999999</v>
      </c>
    </row>
    <row r="77" spans="2:32" x14ac:dyDescent="0.3">
      <c r="B77" t="s">
        <v>122</v>
      </c>
      <c r="C77" t="s">
        <v>116</v>
      </c>
      <c r="D77" t="s">
        <v>34</v>
      </c>
      <c r="E77">
        <v>7</v>
      </c>
      <c r="G77">
        <v>91</v>
      </c>
      <c r="J77">
        <v>25.1</v>
      </c>
      <c r="L77">
        <v>30</v>
      </c>
      <c r="M77">
        <v>0.1</v>
      </c>
      <c r="N77">
        <v>2267.9422</v>
      </c>
      <c r="O77">
        <v>2224.476614902469</v>
      </c>
      <c r="P77">
        <v>1275.6867749456439</v>
      </c>
      <c r="Q77">
        <v>15.5</v>
      </c>
      <c r="R77">
        <v>50</v>
      </c>
      <c r="V77">
        <v>4.2</v>
      </c>
      <c r="W77">
        <v>4.2</v>
      </c>
      <c r="AF77">
        <v>1300.6133</v>
      </c>
    </row>
    <row r="78" spans="2:32" x14ac:dyDescent="0.3">
      <c r="B78" t="s">
        <v>123</v>
      </c>
      <c r="C78" t="s">
        <v>116</v>
      </c>
      <c r="D78" t="s">
        <v>34</v>
      </c>
      <c r="E78">
        <v>8</v>
      </c>
      <c r="G78">
        <v>93</v>
      </c>
      <c r="J78">
        <v>25.1</v>
      </c>
      <c r="L78">
        <v>30</v>
      </c>
      <c r="M78">
        <v>0.1</v>
      </c>
      <c r="N78">
        <v>2267.9422</v>
      </c>
      <c r="O78">
        <v>2224.476614902469</v>
      </c>
      <c r="P78">
        <v>370.2442420154203</v>
      </c>
      <c r="Q78">
        <v>60</v>
      </c>
      <c r="R78">
        <v>50</v>
      </c>
      <c r="V78">
        <v>4.2</v>
      </c>
      <c r="W78">
        <v>4.2</v>
      </c>
      <c r="AF78">
        <v>377.4787</v>
      </c>
    </row>
    <row r="79" spans="2:32" x14ac:dyDescent="0.3">
      <c r="B79" t="s">
        <v>124</v>
      </c>
      <c r="C79" t="s">
        <v>116</v>
      </c>
      <c r="D79" t="s">
        <v>34</v>
      </c>
      <c r="E79">
        <v>9</v>
      </c>
      <c r="G79">
        <v>94</v>
      </c>
      <c r="J79">
        <v>25.1</v>
      </c>
      <c r="L79">
        <v>30</v>
      </c>
      <c r="M79">
        <v>0.1</v>
      </c>
      <c r="N79">
        <v>2267.9422</v>
      </c>
      <c r="O79">
        <v>2224.476614902469</v>
      </c>
      <c r="P79">
        <v>1459.70560393812</v>
      </c>
      <c r="Q79">
        <v>10.5</v>
      </c>
      <c r="R79">
        <v>50</v>
      </c>
      <c r="V79">
        <v>4.2</v>
      </c>
      <c r="W79">
        <v>4.2</v>
      </c>
      <c r="AF79">
        <v>1488.2277999999999</v>
      </c>
    </row>
    <row r="80" spans="2:32" x14ac:dyDescent="0.3">
      <c r="B80" t="s">
        <v>125</v>
      </c>
      <c r="C80" t="s">
        <v>116</v>
      </c>
      <c r="D80" t="s">
        <v>34</v>
      </c>
      <c r="E80">
        <v>10</v>
      </c>
      <c r="G80">
        <v>95</v>
      </c>
      <c r="J80">
        <v>25.1</v>
      </c>
      <c r="L80">
        <v>30</v>
      </c>
      <c r="M80">
        <v>0.1</v>
      </c>
      <c r="N80">
        <v>2267.9422</v>
      </c>
      <c r="O80">
        <v>2224.476614902469</v>
      </c>
      <c r="P80">
        <v>1557.6649094049001</v>
      </c>
      <c r="Q80">
        <v>8.5</v>
      </c>
      <c r="R80">
        <v>50</v>
      </c>
      <c r="V80">
        <v>4.2</v>
      </c>
      <c r="W80">
        <v>4.2</v>
      </c>
      <c r="AF80">
        <v>1588.1012000000001</v>
      </c>
    </row>
    <row r="81" spans="2:32" x14ac:dyDescent="0.3">
      <c r="B81" t="s">
        <v>126</v>
      </c>
      <c r="C81" t="s">
        <v>116</v>
      </c>
      <c r="D81" t="s">
        <v>34</v>
      </c>
      <c r="E81">
        <v>11</v>
      </c>
      <c r="G81">
        <v>96</v>
      </c>
      <c r="J81">
        <v>25.2</v>
      </c>
      <c r="L81">
        <v>30</v>
      </c>
      <c r="M81">
        <v>0.1</v>
      </c>
      <c r="N81">
        <v>2267.9422</v>
      </c>
      <c r="O81">
        <v>2224.5417576931231</v>
      </c>
      <c r="P81">
        <v>978.52346872940348</v>
      </c>
      <c r="Q81">
        <v>25</v>
      </c>
      <c r="R81">
        <v>50</v>
      </c>
      <c r="V81">
        <v>4.2</v>
      </c>
      <c r="W81">
        <v>4.2</v>
      </c>
      <c r="AF81">
        <v>997.61429999999996</v>
      </c>
    </row>
    <row r="82" spans="2:32" x14ac:dyDescent="0.3">
      <c r="B82" t="s">
        <v>127</v>
      </c>
      <c r="C82" t="s">
        <v>116</v>
      </c>
      <c r="D82" t="s">
        <v>34</v>
      </c>
      <c r="E82">
        <v>12</v>
      </c>
      <c r="G82">
        <v>99</v>
      </c>
      <c r="J82">
        <v>25.2</v>
      </c>
      <c r="L82">
        <v>30</v>
      </c>
      <c r="M82">
        <v>0.1</v>
      </c>
      <c r="N82">
        <v>2267.9422</v>
      </c>
      <c r="O82">
        <v>2224.5417576931231</v>
      </c>
      <c r="P82">
        <v>642.68570797766438</v>
      </c>
      <c r="Q82">
        <v>41</v>
      </c>
      <c r="R82">
        <v>50</v>
      </c>
      <c r="V82">
        <v>4.2</v>
      </c>
      <c r="W82">
        <v>4.2</v>
      </c>
      <c r="AF82">
        <v>655.22439999999995</v>
      </c>
    </row>
    <row r="83" spans="2:32" x14ac:dyDescent="0.3">
      <c r="B83" t="s">
        <v>128</v>
      </c>
      <c r="C83" t="s">
        <v>116</v>
      </c>
      <c r="D83" t="s">
        <v>34</v>
      </c>
      <c r="E83">
        <v>13</v>
      </c>
      <c r="G83">
        <v>100</v>
      </c>
      <c r="J83">
        <v>25.2</v>
      </c>
      <c r="L83">
        <v>30</v>
      </c>
      <c r="M83">
        <v>0.1</v>
      </c>
      <c r="N83">
        <v>2267.9422</v>
      </c>
      <c r="O83">
        <v>2224.5417576931231</v>
      </c>
      <c r="P83">
        <v>755.35171282992155</v>
      </c>
      <c r="Q83">
        <v>30</v>
      </c>
      <c r="R83">
        <v>50</v>
      </c>
      <c r="V83">
        <v>4.2</v>
      </c>
      <c r="W83">
        <v>4.2</v>
      </c>
      <c r="AF83">
        <v>770.08849999999995</v>
      </c>
    </row>
    <row r="84" spans="2:32" x14ac:dyDescent="0.3">
      <c r="B84" t="s">
        <v>129</v>
      </c>
      <c r="C84" t="s">
        <v>116</v>
      </c>
      <c r="D84" t="s">
        <v>34</v>
      </c>
      <c r="E84">
        <v>14</v>
      </c>
      <c r="G84">
        <v>101</v>
      </c>
      <c r="J84">
        <v>25</v>
      </c>
      <c r="L84">
        <v>30</v>
      </c>
      <c r="M84">
        <v>0.1</v>
      </c>
      <c r="N84">
        <v>2267.9422</v>
      </c>
      <c r="O84">
        <v>2224.4116497527129</v>
      </c>
      <c r="P84">
        <v>1711.261426091407</v>
      </c>
      <c r="Q84">
        <v>5</v>
      </c>
      <c r="R84">
        <v>50</v>
      </c>
      <c r="V84">
        <v>4.2</v>
      </c>
      <c r="W84">
        <v>4.2</v>
      </c>
      <c r="AF84">
        <v>1744.7499</v>
      </c>
    </row>
    <row r="85" spans="2:32" x14ac:dyDescent="0.3">
      <c r="B85" t="s">
        <v>130</v>
      </c>
      <c r="C85" t="s">
        <v>116</v>
      </c>
      <c r="D85" t="s">
        <v>34</v>
      </c>
      <c r="E85">
        <v>15</v>
      </c>
      <c r="G85">
        <v>102</v>
      </c>
      <c r="J85">
        <v>24.9</v>
      </c>
      <c r="L85">
        <v>30</v>
      </c>
      <c r="M85">
        <v>0.1</v>
      </c>
      <c r="N85">
        <v>2267.9422</v>
      </c>
      <c r="O85">
        <v>2224.3468624801772</v>
      </c>
      <c r="P85">
        <v>1972.8207635809879</v>
      </c>
      <c r="Q85">
        <v>0</v>
      </c>
      <c r="R85">
        <v>50</v>
      </c>
      <c r="V85">
        <v>4.2</v>
      </c>
      <c r="W85">
        <v>4.2</v>
      </c>
      <c r="AF85">
        <v>2011.4864</v>
      </c>
    </row>
    <row r="86" spans="2:32" x14ac:dyDescent="0.3">
      <c r="B86" t="s">
        <v>131</v>
      </c>
      <c r="C86" t="s">
        <v>132</v>
      </c>
      <c r="D86" t="s">
        <v>34</v>
      </c>
      <c r="E86">
        <v>1</v>
      </c>
      <c r="G86">
        <v>107</v>
      </c>
      <c r="J86">
        <v>24.9</v>
      </c>
      <c r="K86">
        <v>172.85</v>
      </c>
      <c r="L86">
        <v>30</v>
      </c>
      <c r="M86">
        <v>0.1</v>
      </c>
      <c r="P86">
        <v>1664.8337513455481</v>
      </c>
      <c r="Q86">
        <v>0</v>
      </c>
      <c r="R86">
        <v>694</v>
      </c>
      <c r="V86">
        <v>4.2</v>
      </c>
      <c r="W86">
        <v>0.15</v>
      </c>
      <c r="X86">
        <v>631.23114576438309</v>
      </c>
      <c r="Z86">
        <v>2276.393693305165</v>
      </c>
      <c r="AF86">
        <v>1697.4630999999999</v>
      </c>
    </row>
    <row r="87" spans="2:32" x14ac:dyDescent="0.3">
      <c r="B87" t="s">
        <v>133</v>
      </c>
      <c r="C87" t="s">
        <v>132</v>
      </c>
      <c r="D87" t="s">
        <v>34</v>
      </c>
      <c r="E87">
        <v>2</v>
      </c>
      <c r="G87">
        <v>108</v>
      </c>
      <c r="J87">
        <v>25</v>
      </c>
      <c r="K87">
        <v>172.05</v>
      </c>
      <c r="L87">
        <v>30</v>
      </c>
      <c r="M87">
        <v>0.1</v>
      </c>
      <c r="P87">
        <v>2091.9315153632419</v>
      </c>
      <c r="Q87">
        <v>0</v>
      </c>
      <c r="R87">
        <v>240</v>
      </c>
      <c r="V87">
        <v>1.2</v>
      </c>
      <c r="W87">
        <v>0.15</v>
      </c>
      <c r="X87">
        <v>457.78780730075681</v>
      </c>
      <c r="Z87">
        <v>223.69571063881321</v>
      </c>
      <c r="AF87">
        <v>2132.8694999999998</v>
      </c>
    </row>
    <row r="88" spans="2:32" x14ac:dyDescent="0.3">
      <c r="B88" t="s">
        <v>134</v>
      </c>
      <c r="C88" t="s">
        <v>132</v>
      </c>
      <c r="D88" t="s">
        <v>34</v>
      </c>
      <c r="E88">
        <v>3</v>
      </c>
      <c r="G88">
        <v>110</v>
      </c>
      <c r="J88">
        <v>25.2</v>
      </c>
      <c r="K88">
        <v>171.75</v>
      </c>
      <c r="L88">
        <v>30</v>
      </c>
      <c r="M88">
        <v>0.1</v>
      </c>
      <c r="P88">
        <v>1231.649717421521</v>
      </c>
      <c r="Q88">
        <v>68</v>
      </c>
      <c r="R88">
        <v>254</v>
      </c>
      <c r="V88">
        <v>1.2</v>
      </c>
      <c r="W88">
        <v>0.15</v>
      </c>
      <c r="X88">
        <v>457.64581774210058</v>
      </c>
      <c r="Z88">
        <v>221.9548639716258</v>
      </c>
      <c r="AF88">
        <v>1255.6790000000001</v>
      </c>
    </row>
    <row r="89" spans="2:32" x14ac:dyDescent="0.3">
      <c r="B89" t="s">
        <v>135</v>
      </c>
      <c r="C89" t="s">
        <v>132</v>
      </c>
      <c r="D89" t="s">
        <v>34</v>
      </c>
      <c r="E89">
        <v>4</v>
      </c>
      <c r="G89">
        <v>111</v>
      </c>
      <c r="J89">
        <v>25.1</v>
      </c>
      <c r="K89">
        <v>170.6</v>
      </c>
      <c r="L89">
        <v>30</v>
      </c>
      <c r="M89">
        <v>0.1</v>
      </c>
      <c r="P89">
        <v>1931.1600302533141</v>
      </c>
      <c r="Q89">
        <v>5</v>
      </c>
      <c r="V89">
        <v>1.2</v>
      </c>
      <c r="W89">
        <v>0.15</v>
      </c>
      <c r="X89">
        <v>459.43300365570792</v>
      </c>
      <c r="Z89">
        <v>276.36273469942847</v>
      </c>
      <c r="AF89">
        <v>1968.8942999999999</v>
      </c>
    </row>
    <row r="90" spans="2:32" x14ac:dyDescent="0.3">
      <c r="B90" t="s">
        <v>136</v>
      </c>
      <c r="C90" t="s">
        <v>132</v>
      </c>
      <c r="D90" t="s">
        <v>34</v>
      </c>
      <c r="E90">
        <v>5</v>
      </c>
      <c r="G90">
        <v>112</v>
      </c>
      <c r="J90">
        <v>25.1</v>
      </c>
      <c r="K90">
        <v>170.1</v>
      </c>
      <c r="L90">
        <v>30</v>
      </c>
      <c r="M90">
        <v>0.1</v>
      </c>
      <c r="P90">
        <v>2087.0161498770522</v>
      </c>
      <c r="Q90">
        <v>0</v>
      </c>
      <c r="R90">
        <v>250</v>
      </c>
      <c r="V90">
        <v>1.2</v>
      </c>
      <c r="W90">
        <v>0.15</v>
      </c>
      <c r="X90">
        <v>459.69729839733509</v>
      </c>
      <c r="Z90">
        <v>277.27869091433939</v>
      </c>
      <c r="AF90">
        <v>2127.7957999999999</v>
      </c>
    </row>
    <row r="91" spans="2:32" x14ac:dyDescent="0.3">
      <c r="B91" t="s">
        <v>137</v>
      </c>
      <c r="C91" t="s">
        <v>132</v>
      </c>
      <c r="D91" t="s">
        <v>34</v>
      </c>
      <c r="E91">
        <v>6</v>
      </c>
      <c r="G91">
        <v>113</v>
      </c>
      <c r="J91">
        <v>25.1</v>
      </c>
      <c r="K91">
        <v>169.85</v>
      </c>
      <c r="L91">
        <v>30</v>
      </c>
      <c r="M91">
        <v>0.1</v>
      </c>
      <c r="P91">
        <v>1955.2538445729349</v>
      </c>
      <c r="Q91">
        <v>5</v>
      </c>
      <c r="R91">
        <v>257</v>
      </c>
      <c r="V91">
        <v>1.2</v>
      </c>
      <c r="W91">
        <v>0.15</v>
      </c>
      <c r="X91">
        <v>459.55499086940551</v>
      </c>
      <c r="Z91">
        <v>275.51183097171679</v>
      </c>
      <c r="AF91">
        <v>1993.4589000000001</v>
      </c>
    </row>
    <row r="92" spans="2:32" x14ac:dyDescent="0.3">
      <c r="B92" t="s">
        <v>138</v>
      </c>
      <c r="C92" t="s">
        <v>132</v>
      </c>
      <c r="D92" t="s">
        <v>34</v>
      </c>
      <c r="E92">
        <v>7</v>
      </c>
      <c r="G92">
        <v>114</v>
      </c>
      <c r="J92">
        <v>25.1</v>
      </c>
      <c r="K92">
        <v>169.35</v>
      </c>
      <c r="L92">
        <v>30</v>
      </c>
      <c r="M92">
        <v>0.1</v>
      </c>
      <c r="P92">
        <v>1860.638106826947</v>
      </c>
      <c r="Q92">
        <v>10</v>
      </c>
      <c r="R92">
        <v>240</v>
      </c>
      <c r="V92">
        <v>1.2</v>
      </c>
      <c r="W92">
        <v>0.15</v>
      </c>
      <c r="X92">
        <v>459.84611835171341</v>
      </c>
      <c r="Z92">
        <v>281.55193821476939</v>
      </c>
      <c r="AF92">
        <v>1896.9944</v>
      </c>
    </row>
    <row r="93" spans="2:32" x14ac:dyDescent="0.3">
      <c r="B93" t="s">
        <v>139</v>
      </c>
      <c r="C93" t="s">
        <v>132</v>
      </c>
      <c r="D93" t="s">
        <v>34</v>
      </c>
      <c r="E93">
        <v>8</v>
      </c>
      <c r="G93">
        <v>115</v>
      </c>
      <c r="J93">
        <v>25.1</v>
      </c>
      <c r="K93">
        <v>169.2</v>
      </c>
      <c r="L93">
        <v>30</v>
      </c>
      <c r="M93">
        <v>0.1</v>
      </c>
      <c r="P93">
        <v>1858.548438303626</v>
      </c>
      <c r="Q93">
        <v>10</v>
      </c>
      <c r="R93">
        <v>243</v>
      </c>
      <c r="V93">
        <v>1.2</v>
      </c>
      <c r="W93">
        <v>0.15</v>
      </c>
      <c r="X93">
        <v>459.66397937000778</v>
      </c>
      <c r="Z93">
        <v>278.31415432769637</v>
      </c>
      <c r="AF93">
        <v>1894.8639000000001</v>
      </c>
    </row>
    <row r="94" spans="2:32" x14ac:dyDescent="0.3">
      <c r="B94" t="s">
        <v>140</v>
      </c>
      <c r="C94" t="s">
        <v>132</v>
      </c>
      <c r="D94" t="s">
        <v>34</v>
      </c>
      <c r="E94">
        <v>9</v>
      </c>
      <c r="J94">
        <v>25.2</v>
      </c>
      <c r="K94">
        <v>168.7</v>
      </c>
      <c r="L94">
        <v>30</v>
      </c>
      <c r="M94">
        <v>0.1</v>
      </c>
      <c r="Q94">
        <v>30</v>
      </c>
      <c r="V94">
        <v>1.2</v>
      </c>
      <c r="W94">
        <v>0.15</v>
      </c>
      <c r="X94">
        <v>459.79033991718819</v>
      </c>
      <c r="Z94">
        <v>281.74671606938438</v>
      </c>
    </row>
    <row r="95" spans="2:32" x14ac:dyDescent="0.3">
      <c r="B95" t="s">
        <v>141</v>
      </c>
      <c r="C95" t="s">
        <v>132</v>
      </c>
      <c r="D95" t="s">
        <v>34</v>
      </c>
      <c r="E95">
        <v>10</v>
      </c>
      <c r="J95">
        <v>25.2</v>
      </c>
      <c r="K95">
        <v>168.35</v>
      </c>
      <c r="L95">
        <v>30</v>
      </c>
      <c r="M95">
        <v>0.1</v>
      </c>
      <c r="V95">
        <v>1.2</v>
      </c>
      <c r="W95">
        <v>0.15</v>
      </c>
      <c r="X95">
        <v>459.64436231672647</v>
      </c>
      <c r="Z95">
        <v>281.68579523815703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Nico Remkes</cp:lastModifiedBy>
  <dcterms:created xsi:type="dcterms:W3CDTF">2025-10-14T12:29:10Z</dcterms:created>
  <dcterms:modified xsi:type="dcterms:W3CDTF">2025-10-14T13:17:25Z</dcterms:modified>
</cp:coreProperties>
</file>