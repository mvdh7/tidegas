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0e67038fc02b579b/Documenten/GitHub/tidegas/"/>
    </mc:Choice>
  </mc:AlternateContent>
  <xr:revisionPtr revIDLastSave="7" documentId="11_2A312682534508DEE54878D6425DCE3A87402D38" xr6:coauthVersionLast="47" xr6:coauthVersionMax="47" xr10:uidLastSave="{6614DC4E-23B3-4A7A-BE5D-93827418D483}"/>
  <bookViews>
    <workbookView xWindow="2868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2" i="1"/>
</calcChain>
</file>

<file path=xl/sharedStrings.xml><?xml version="1.0" encoding="utf-8"?>
<sst xmlns="http://schemas.openxmlformats.org/spreadsheetml/2006/main" count="1269" uniqueCount="658">
  <si>
    <t>Description</t>
  </si>
  <si>
    <t>file name alkalinity</t>
  </si>
  <si>
    <t>date</t>
  </si>
  <si>
    <t>sample/junk</t>
  </si>
  <si>
    <t>bottle</t>
  </si>
  <si>
    <t>batch</t>
  </si>
  <si>
    <t>Corresponding DIC file nr</t>
  </si>
  <si>
    <t xml:space="preserve">notes </t>
  </si>
  <si>
    <t>file_not_good</t>
  </si>
  <si>
    <t>Temperature</t>
  </si>
  <si>
    <t>First emf value</t>
  </si>
  <si>
    <t>Salinity</t>
  </si>
  <si>
    <t>Titrant Molinity</t>
  </si>
  <si>
    <t>Reference DIC (umol/L)</t>
  </si>
  <si>
    <t>Reference DIC (umol/kg)</t>
  </si>
  <si>
    <t>Calculated DIC (umol/kg)</t>
  </si>
  <si>
    <t>waiting time (minutes)</t>
  </si>
  <si>
    <t>Titration duration (seconds)</t>
  </si>
  <si>
    <t>Mixing and waiting time (seconds)</t>
  </si>
  <si>
    <t>Alkalinity daily reference measurement</t>
  </si>
  <si>
    <t>acid added (mL)</t>
  </si>
  <si>
    <t>acid increments (mL)</t>
  </si>
  <si>
    <t>emf0 value</t>
  </si>
  <si>
    <t>calkulate alkalinity</t>
  </si>
  <si>
    <t>daily reference alkalinity (umol/kg)</t>
  </si>
  <si>
    <t>daily reference alkalinity standard deviation (umol/kg)</t>
  </si>
  <si>
    <t>Unnamed: 26</t>
  </si>
  <si>
    <t>file name DIC</t>
  </si>
  <si>
    <t>start time</t>
  </si>
  <si>
    <t>sample volume (L)</t>
  </si>
  <si>
    <t>Calculated DIC (umol/L)</t>
  </si>
  <si>
    <t>Unnamed: 28</t>
  </si>
  <si>
    <t>before titrant molinity</t>
  </si>
  <si>
    <t>after titrant molinity at salinity 30</t>
  </si>
  <si>
    <t>after titrant molinity at salinity 34</t>
  </si>
  <si>
    <t>Percentage DIC (%)</t>
  </si>
  <si>
    <t>C_from_reference (%)</t>
  </si>
  <si>
    <t>0-0  0  (0)junk-250916-01.dat</t>
  </si>
  <si>
    <t>Junk</t>
  </si>
  <si>
    <t>first measurement bad</t>
  </si>
  <si>
    <t>not_good</t>
  </si>
  <si>
    <t>0-0  0  (0)junk-250916-02.dat</t>
  </si>
  <si>
    <t>0-0  0  (0)junk-250916-03.dat</t>
  </si>
  <si>
    <t>0-0  0  (0)junk-250916-04.dat</t>
  </si>
  <si>
    <t>0-0  0  (0)junk-250916-05.dat</t>
  </si>
  <si>
    <t>0-0  0  (0)junk-250916-06.dat</t>
  </si>
  <si>
    <t>0-0  0  (0)junk-250916-07.dat</t>
  </si>
  <si>
    <t>0-0  0  (0)junk-250916-08.dat</t>
  </si>
  <si>
    <t xml:space="preserve">Cell not full </t>
  </si>
  <si>
    <t>0-0  0  (0)junk-250916-09.dat</t>
  </si>
  <si>
    <t>0-0  0  (0)junk-250916-10.dat</t>
  </si>
  <si>
    <t>0-0  0  (0)junk-250916-11.dat</t>
  </si>
  <si>
    <t>0-0  0  (0)junk-250917-01.dat</t>
  </si>
  <si>
    <t>0-0  0  (0)junk-250917-02.dat</t>
  </si>
  <si>
    <t>0-0  0  (0)junk-250917-03.dat</t>
  </si>
  <si>
    <t>0-0  0  (0)junk-250917-04.dat</t>
  </si>
  <si>
    <t>0-0  0  (0)junk-250917-05.dat</t>
  </si>
  <si>
    <t>0-0  0  (0)junk-250917-06.dat</t>
  </si>
  <si>
    <t>0-0  0  (0)junk-250917-07.dat</t>
  </si>
  <si>
    <t>0-0  0  (0)junk-250917-08.dat</t>
  </si>
  <si>
    <t>0-0  0  (0)junk-250917-09.dat</t>
  </si>
  <si>
    <t>0-0  0  (0)junk-250917-10.dat</t>
  </si>
  <si>
    <t>0-0  0  (0)junk-250917-11.dat</t>
  </si>
  <si>
    <t>0-0  0  (0)junk-250917-12.dat</t>
  </si>
  <si>
    <t>0-0  0  (0)junk-250918-01.dat</t>
  </si>
  <si>
    <t>0-0  0  (0)junk-250918-02.dat</t>
  </si>
  <si>
    <t>0-0  0  (0)junk-250918-03.dat</t>
  </si>
  <si>
    <t>0-0  0  (0)junk-250930-02.dat</t>
  </si>
  <si>
    <t>0-0  0  (0)junk-250930-03.dat</t>
  </si>
  <si>
    <t>co2data 30-09 (2).txt</t>
  </si>
  <si>
    <t>0-0  0  (0)junk-250930-04-2_25mL-0_15incrMl.dat</t>
  </si>
  <si>
    <t>co2data 30-09 (3).txt</t>
  </si>
  <si>
    <t>0-0  0  (0)junk-250930-05-1_2mL-0_15incrmL.dat</t>
  </si>
  <si>
    <t>co2data 30-09 (4).txt</t>
  </si>
  <si>
    <t>0-0  0  (0)junk-250930-06-3_15mL-0_15incrmL.dat</t>
  </si>
  <si>
    <t>co2data 30-09 (5).txt</t>
  </si>
  <si>
    <t>0-0  0  (0)junk-250930-07-3_60mL-0_15incrmL.dat</t>
  </si>
  <si>
    <t>co2data 30-09 (6).txt</t>
  </si>
  <si>
    <t>0-0  0  (0)junk-250930-08-4_80mL-0_15incrmL.dat</t>
  </si>
  <si>
    <t>co2data 30-09 (9).txt</t>
  </si>
  <si>
    <t>0-0  0  (0)junk-250930-09-4_2mL-0_15incrmL.dat</t>
  </si>
  <si>
    <t>0-0  0  (0)junk-251001-01-4_2mL-0_15incrmL.dat</t>
  </si>
  <si>
    <t>co2data 01-10 (3).txt</t>
  </si>
  <si>
    <t>0-0  0  (0)junk-251001-02-2_25mL-0_15incrmL.dat</t>
  </si>
  <si>
    <t>co2data 01-10 (4).txt</t>
  </si>
  <si>
    <t>0-0  0  (0)junk-251001-03-1_2mL-0_15incrmL.dat</t>
  </si>
  <si>
    <t>co2data 01-10 (5).txt</t>
  </si>
  <si>
    <t>0-0  0  (0)junk-251001-04-1_2mL-0_15incrmL.dat</t>
  </si>
  <si>
    <t>co2data 01-10 (6).txt</t>
  </si>
  <si>
    <t>0-0  0  (0)junk-251001-05-1_2mL-0_15incrmL.dat</t>
  </si>
  <si>
    <t>co2data 01-10 (7).txt</t>
  </si>
  <si>
    <t>0-0  0  (0)junk-251001-07-2_25mL-0_15incrmL.dat</t>
  </si>
  <si>
    <t>co2data 01-10 (8).txt</t>
  </si>
  <si>
    <t>0-0  0  (0)junk-251001-08-2_25mL-0_15incrmL.dat</t>
  </si>
  <si>
    <t>co2data 01-10 (9).txt</t>
  </si>
  <si>
    <t>0-0  0  (0)junk-251001-09-2_25mL-0_15incrmL.dat</t>
  </si>
  <si>
    <t>co2data 01-10 (10).txt</t>
  </si>
  <si>
    <t>0-0  0  (0)junk-251001-10-3_15mL-0_15incrmL.dat</t>
  </si>
  <si>
    <t>co2data 01-10 (11).txt</t>
  </si>
  <si>
    <t>0-0  0  (0)junk-251001-11-3_15mL-0_15incrmL.dat</t>
  </si>
  <si>
    <t>co2data 01-10 (12).txt</t>
  </si>
  <si>
    <t>0-0  0  (0)junk-251001-12-4_2mL-0_15incrmL.dat</t>
  </si>
  <si>
    <t>co2data 01-10 (13).txt</t>
  </si>
  <si>
    <t>0-0  0  (0)junk-251001-13-4_2mL-0_15incrmL.dat</t>
  </si>
  <si>
    <t>co2data 01-10 (14).txt</t>
  </si>
  <si>
    <t>0-0  0  (0)junk-251003-01-4_2mL-0_15incrmL.dat</t>
  </si>
  <si>
    <t>co2data 03-10 (2).txt</t>
  </si>
  <si>
    <t>0-0  0  (0)junk-251003-02-4_2mL-0_15incrmL.dat</t>
  </si>
  <si>
    <t>co2data 03-10 (7).txt</t>
  </si>
  <si>
    <t>0-0  0  (0)junk-251003-03-4_2mL-0_15incrmL.dat</t>
  </si>
  <si>
    <t>0-0  0  (0)junk-251003-04-4_2mL-0_15incrmL.dat</t>
  </si>
  <si>
    <t>co2data 03-10 (11).txt</t>
  </si>
  <si>
    <t>0-0  0  (0)junk-251003-05-4_2mL-0_15incrmL.dat</t>
  </si>
  <si>
    <t>co2data 03-10 (16).txt</t>
  </si>
  <si>
    <t>0-0  0  (0)junk-251003-07-2_25mL-0_15incrmL.dat</t>
  </si>
  <si>
    <t>0-0  0  (0)junk-251003-08-2_25mL-0_15incrmL.dat</t>
  </si>
  <si>
    <t>co2data 03-10 (19).txt</t>
  </si>
  <si>
    <t>0-0  0  (0)junk-251003-09-2_25mL-0_15incrmL.dat</t>
  </si>
  <si>
    <t>co2data 03-10 (20).txt</t>
  </si>
  <si>
    <t>0-0  0  (0)junk-251006-01-4_2mL-0_15incrmL.dat</t>
  </si>
  <si>
    <t>co2data 06-10 (4).txt</t>
  </si>
  <si>
    <t>0-0  0  (0)junk-251006-02-4_2mL-0_15incrmL.dat</t>
  </si>
  <si>
    <t>co2data 06-10 (6).txt</t>
  </si>
  <si>
    <t>0-0  0  (0)junk-251006-03-4_2mL-0_15incrmL.dat</t>
  </si>
  <si>
    <t>co2data 06-10 (7).txt</t>
  </si>
  <si>
    <t>0-0  0  (0)junk-251006-04-4_2mL-0_15incrmL.dat</t>
  </si>
  <si>
    <t>co2data 06-10 (8).txt</t>
  </si>
  <si>
    <t>0-0  0  (0)junk-251006-05-4_2mL-0_15incrmL.dat</t>
  </si>
  <si>
    <t>co2data 06-10 (9).txt</t>
  </si>
  <si>
    <t>0-0  0  (0)junk-251006-06-4_2mL-0_15incrmL.dat</t>
  </si>
  <si>
    <t>co2data 06-10 (10).txt</t>
  </si>
  <si>
    <t>0-0  0  (0)junk-251006-07-4_2mL-0_15incrmL-0_0min.dat</t>
  </si>
  <si>
    <t>co2data 06-10 (11).txt</t>
  </si>
  <si>
    <t>0-0  0  (0)junk-251006-08-4_2mL-0_15incrmL-1_0min.dat</t>
  </si>
  <si>
    <t>co2data 06-10 (12).txt</t>
  </si>
  <si>
    <t>0-0  0  (0)junk-251008-01-4_2mL-0_15incrmL.dat</t>
  </si>
  <si>
    <t>co2data 08-10 (4).txt</t>
  </si>
  <si>
    <t>0-0  0  (0)junk-251008-02-4_2mL-0_15incrmL.dat</t>
  </si>
  <si>
    <t>co2data 08-10 (6).txt</t>
  </si>
  <si>
    <t>0-0  0  (0)junk-251008-03-4_2mL-0_15incrmL.dat</t>
  </si>
  <si>
    <t>co2data 08-10 (7).txt</t>
  </si>
  <si>
    <t>0-0  0  (0)junk-251008-04-4_2mL-0_15incrmL.dat</t>
  </si>
  <si>
    <t>co2data 08-10 (9).txt</t>
  </si>
  <si>
    <t>0-0  0  (0)junk-251008-05-4_2mL-0_15incrmL.dat</t>
  </si>
  <si>
    <t>co2data 08-10 (11).txt</t>
  </si>
  <si>
    <t>0-0  0  (0)junk-251008-06-4_2mL-0_15incrmL.dat</t>
  </si>
  <si>
    <t>co2data 08-10 (12).txt</t>
  </si>
  <si>
    <t>0-0  0  (0)junk-251008-07-4_2mL-0_15incrmL.dat</t>
  </si>
  <si>
    <t>co2data 08-10 (13).txt</t>
  </si>
  <si>
    <t>0-0  0  (0)junk-251009-01-4_2mL-0_15incrmL.dat</t>
  </si>
  <si>
    <t>co2data (82).txt</t>
  </si>
  <si>
    <t>0-0  0  (0)junk-251009-02-4_2mL-0_15incrmL.dat</t>
  </si>
  <si>
    <t>co2data (85).txt</t>
  </si>
  <si>
    <t>0-0  0  (0)junk-251009-03-4_2mL-0_15incrmL.dat</t>
  </si>
  <si>
    <t>0-0  0  (0)junk-251009-04-4_2mL-4_2incrmL.dat</t>
  </si>
  <si>
    <t>co2data 09-10 (6).txt</t>
  </si>
  <si>
    <t>0-0  0  (0)junk-251009-05-4_2mL-4_2incrmL.dat</t>
  </si>
  <si>
    <t>co2data 09-10 (7).txt</t>
  </si>
  <si>
    <t>0-0  0  (0)junk-251009-06-4_2mL-4_2incrmL.dat</t>
  </si>
  <si>
    <t>co2data 09-10 (8).txt</t>
  </si>
  <si>
    <t>0-0  0  (0)junk-251009-07-4_2mL-4_2incrmL.dat</t>
  </si>
  <si>
    <t>co2data 09-10 (10).txt</t>
  </si>
  <si>
    <t>0-0  0  (0)junk-251009-08-4_2mL-4_2incrmL.dat</t>
  </si>
  <si>
    <t>co2data 09-10 (12).txt</t>
  </si>
  <si>
    <t>0-0  0  (0)junk-251009-09-4_2mL-4_2incrmL.dat</t>
  </si>
  <si>
    <t>co2data 09-10 (13).txt</t>
  </si>
  <si>
    <t>0-0  0  (0)junk-251009-10-4_2mL-4_2incrmL.dat</t>
  </si>
  <si>
    <t>co2data 09-10 (14).txt</t>
  </si>
  <si>
    <t>0-0  0  (0)junk-251009-11-4_2mL-4_2incrmL.dat</t>
  </si>
  <si>
    <t>co2data 09-10 (15).txt</t>
  </si>
  <si>
    <t>0-0  0  (0)junk-251009-12-4_2mL-4_2incrmL.dat</t>
  </si>
  <si>
    <t>co2data 09-10 (18).txt</t>
  </si>
  <si>
    <t>0-0  0  (0)junk-251009-13-4_2mL-4_2incrmL.dat</t>
  </si>
  <si>
    <t>co2data 09-10 (19).txt</t>
  </si>
  <si>
    <t>0-0  0  (0)junk-251009-14-4_2mL-4_2incrmL.dat</t>
  </si>
  <si>
    <t>co2data 09-10 (20).txt</t>
  </si>
  <si>
    <t>0-0  0  (0)junk-251009-15-4_2mL-4_2incrmL.dat</t>
  </si>
  <si>
    <t>co2data 09-10 (21).txt</t>
  </si>
  <si>
    <t>0-0  0  (0)junk-251013-01-4_2mL-0_15incrmL.dat</t>
  </si>
  <si>
    <t>co2data 13-10 (3).txt</t>
  </si>
  <si>
    <t>0-0  0  (0)junk-251013-02-1_2mL-0_15incrmL.dat</t>
  </si>
  <si>
    <t>co2data 13-10 (4).txt</t>
  </si>
  <si>
    <t>0-0  0  (0)junk-251013-03-1_2mL-0_15incrmL.dat</t>
  </si>
  <si>
    <t>co2data 13-10 (6).txt</t>
  </si>
  <si>
    <t>0-0  0  (0)junk-251013-04-1_2mL-0_15incrmL.dat</t>
  </si>
  <si>
    <t>co2data 13-10 (7).txt</t>
  </si>
  <si>
    <t>0-0  0  (0)junk-251013-05-1_2mL-0_15incrmL.dat</t>
  </si>
  <si>
    <t>co2data 13-10 (8).txt</t>
  </si>
  <si>
    <t>0-0  0  (0)junk-251013-06-1_2mL-0_15incrmL.dat</t>
  </si>
  <si>
    <t>co2data 13-10 (9).txt</t>
  </si>
  <si>
    <t>0-0  0  (0)junk-251013-07-1_2mL-0_15incrmL.dat</t>
  </si>
  <si>
    <t>co2data 13-10 (10).txt</t>
  </si>
  <si>
    <t>0-0  0  (0)junk-251013-08-1_2mL-0_15incrmL.dat</t>
  </si>
  <si>
    <t>co2data 13-10 (11).txt</t>
  </si>
  <si>
    <t>0-0  0  (0)junk-251013-09-1_2mL-0_15incrmL.dat</t>
  </si>
  <si>
    <t>0-0  0  (0)junk-251013-10-1_2mL-0_15incrmL.dat</t>
  </si>
  <si>
    <t>0-0  0  (0)junk-251014-01-4_2mL-0_15incrmL.dat</t>
  </si>
  <si>
    <t>0-0  0  (0)junk-251014-02-4_2mL-0_15incrmL.dat</t>
  </si>
  <si>
    <t>0-0  0  (0)junk-251014-03-4_2mL-0_15incrmL.dat</t>
  </si>
  <si>
    <t>0-0  0  (0)nose-251014-04-4_2mL-0_15incrmL.dat</t>
  </si>
  <si>
    <t>Nose</t>
  </si>
  <si>
    <t>NO DIC MEASURED</t>
  </si>
  <si>
    <t>0-0  0  (0)CRM-251014-05-4_2mL-0_15incrmL.dat</t>
  </si>
  <si>
    <t>Crm</t>
  </si>
  <si>
    <t>0-0  0  (0)junk-251014-06-4_2mL-0_15incrmL.dat</t>
  </si>
  <si>
    <t>0-0  0  (0)junk-251015-01-4_2mL-0_15incrmL.dat</t>
  </si>
  <si>
    <t>co2data 15-10 (2).txt</t>
  </si>
  <si>
    <t>0-0  0  (0)junk-251015-02-1_2mL-0_15incrmL.dat</t>
  </si>
  <si>
    <t>co2data 15-10 (3).txt</t>
  </si>
  <si>
    <t>0-0  0  (0)junk-251015-03-1_2mL-0_15incrmL.dat</t>
  </si>
  <si>
    <t>co2data 15-10 (4).txt</t>
  </si>
  <si>
    <t>0-0  0  (0)junk-251015-04-1_2mL-0_15incrmL.dat</t>
  </si>
  <si>
    <t>co2data 15-10 (5).txt</t>
  </si>
  <si>
    <t>0-0  0  (0)junk-251015-05-1_2mL-0_15incrmL.dat</t>
  </si>
  <si>
    <t>co2data 15-10 (6).txt</t>
  </si>
  <si>
    <t>0-0  0  (0)junk-251015-06-1_2mL-0_15incrmL.dat</t>
  </si>
  <si>
    <t>co2data 15-10 (8).txt</t>
  </si>
  <si>
    <t>0-0  0  (0)junk-251015-07-1_2mL-0_15incrmL.dat</t>
  </si>
  <si>
    <t>co2data 15-10 (10).txt</t>
  </si>
  <si>
    <t>0-0  0  (0)junk-251015-08-1_2mL-0_15incrmL.dat</t>
  </si>
  <si>
    <t>co2data 15-10 (12).txt</t>
  </si>
  <si>
    <t>0-0  0  (0)junk-251015-09-1_2mL-0_15incrmL.dat</t>
  </si>
  <si>
    <t>co2data 15-10 (13).txt</t>
  </si>
  <si>
    <t>0-0  0  (0)junk-251015-10-1_2mL-0_15incrmL.dat</t>
  </si>
  <si>
    <t>co2data 15-10 (14).txt</t>
  </si>
  <si>
    <t>0-0  0  (0)junk-251015-11-4_2mL-0_15incrmL.dat</t>
  </si>
  <si>
    <t>0-0  0  (0)junk-251016-01-4_2mL-0_15incrmL.dat</t>
  </si>
  <si>
    <t>0-0  0  (0)junk-251016-02-0_6mL-0_15incrmL.dat</t>
  </si>
  <si>
    <t>co2data 16-10 (4).txt</t>
  </si>
  <si>
    <t>0-0  0  (0)junk-251016-03-0_6mL-0_15incrmL.dat</t>
  </si>
  <si>
    <t>co2data 16-10 (5).txt</t>
  </si>
  <si>
    <t>0-0  0  (0)junk-251016-04-0_6mL-0_15incrmL.dat</t>
  </si>
  <si>
    <t>co2data 16-10 (6).txt</t>
  </si>
  <si>
    <t>0-0  0  (0)junk-251016-05-0_6mL-0_15incrmL.dat</t>
  </si>
  <si>
    <t>co2data 16-10 (7).txt</t>
  </si>
  <si>
    <t>0-0  0  (0)junk-251016-06-0_6mL-0_15incrmL.dat</t>
  </si>
  <si>
    <t>co2data 16-10 (9).txt</t>
  </si>
  <si>
    <t>0-0  0  (0)junk-251016-07-0_6mL-0_15incrmL.dat</t>
  </si>
  <si>
    <t>co2data 16-10 (10).txt</t>
  </si>
  <si>
    <t>0-0  0  (0)junk-251016-08-0_6mL-0_15incrmL.dat</t>
  </si>
  <si>
    <t>co2data 16-10 (12).txt</t>
  </si>
  <si>
    <t>0-0  0  (0)junk-251016-09-0_6mL-0_15incrmL.dat</t>
  </si>
  <si>
    <t>co2data 16-10 (13).txt</t>
  </si>
  <si>
    <t>0-0  0  (0)junk-251016-10-0_6mL-0_15incrmL.dat</t>
  </si>
  <si>
    <t>co2data 16-10 (14).txt</t>
  </si>
  <si>
    <t>0-0  0  (0)junk-251016-11-0_6mL-0_15incrmL.dat</t>
  </si>
  <si>
    <t>co2data 16-10 (15).txt</t>
  </si>
  <si>
    <t>0-0  0  (0)junk-251016-12-0_6mL-0_15incrmL.dat</t>
  </si>
  <si>
    <t>co2data 16-10 (16).txt</t>
  </si>
  <si>
    <t>0-0  0  (0)junk-251016-13-0_6mL-0_15incrmL.dat</t>
  </si>
  <si>
    <t>co2data 16-10 (17).txt</t>
  </si>
  <si>
    <t>0-0  0  (0)junk-251016-14-0_6mL-0_15incrmL.dat</t>
  </si>
  <si>
    <t>co2data 16-10 (18).txt</t>
  </si>
  <si>
    <t>0-0  0  (0)nose-251017-01-4_2mL-0_15incrmL.dat</t>
  </si>
  <si>
    <t>co2data 17-10 (5).txt</t>
  </si>
  <si>
    <t>0-0  0  (0)nose-251017-02-4_2mL-0_15incrmL.dat</t>
  </si>
  <si>
    <t>co2data 17-10 (6).txt</t>
  </si>
  <si>
    <t>0-0  0  (0)nose-251017-03-4_2mL-0_15incrmL.dat</t>
  </si>
  <si>
    <t>0-0  0  (0)nose-251017-04-4_2mL-0_15incrmL.dat</t>
  </si>
  <si>
    <t>co2data 17-10 (10).txt</t>
  </si>
  <si>
    <t>0-0  0  (0)nose-251021-01-4_2mL-0_15incrmL.dat</t>
  </si>
  <si>
    <t>Changed acid</t>
  </si>
  <si>
    <t>0-0  0  (0)nose-251022-01-4_2mL-0_15incrmL.dat</t>
  </si>
  <si>
    <t>co2data 22-10 (3).txt</t>
  </si>
  <si>
    <t>0-0  0  (0)nose-251022-02-2_1mL-0_15incrmL.dat</t>
  </si>
  <si>
    <t>co2data 22-10 (4).txt</t>
  </si>
  <si>
    <t>0-0  0  (0)nose-251022-03-2_1mL-0_15incrmL.dat</t>
  </si>
  <si>
    <t>co2data 22-10 (5).txt</t>
  </si>
  <si>
    <t>0-0  0  (0)nose-251022-04-2_1mL-0_15incrmL.dat</t>
  </si>
  <si>
    <t>co2data 22-10 (6).txt</t>
  </si>
  <si>
    <t>0-0  0  (0)nose-251022-05-2_1mL-0_15incrmL.dat</t>
  </si>
  <si>
    <t>co2data 22-10 (7).txt</t>
  </si>
  <si>
    <t>0-0  0  (0)nose-251022-06-2_1mL-0_15incrmL.dat</t>
  </si>
  <si>
    <t>co2data 22-10 (9).txt</t>
  </si>
  <si>
    <t>0-0  0  (0)nose-251022-07-2_1mL-0_15incrmL.dat</t>
  </si>
  <si>
    <t>co2data 22-10 (10).txt</t>
  </si>
  <si>
    <t>0-0  0  (0)nose-251022-08-2_1mL-0_15incrmL.dat</t>
  </si>
  <si>
    <t>co2data 22-10 (11).txt</t>
  </si>
  <si>
    <t>0-0  0  (0)nose-251022-09-2_1mL-0_15incrmL.dat</t>
  </si>
  <si>
    <t>co2data 22-10 (14).txt</t>
  </si>
  <si>
    <t>0-0  0  (0)nose-251022-10-2_1mL-0_15incrmL.dat</t>
  </si>
  <si>
    <t>co2data 22-10 (15).txt</t>
  </si>
  <si>
    <t>0-0  0  (0)nose-251022-11-2_1mL-0_15incrmL.dat</t>
  </si>
  <si>
    <t>0-0  0  (0)nose-251022-12-2_1mL-0_15incrmL.dat</t>
  </si>
  <si>
    <t>co2data 22-10 (17).txt</t>
  </si>
  <si>
    <t>0-0  0  (0)nose-251022-13-2_1mL-0_15incrmL.dat</t>
  </si>
  <si>
    <t>co2data 22-10 (19).txt</t>
  </si>
  <si>
    <t>0-0  0  (0)nose-251022-14-2_1mL-0_15incrmL.dat</t>
  </si>
  <si>
    <t>co2data 22-10 (20).txt</t>
  </si>
  <si>
    <t>0-0  0  (0)nose-251022-15-4_2mL-0_15incrmL.dat</t>
  </si>
  <si>
    <t>0-0  0  (0)junk-251023-01-4_2mL-0_15incrmL.dat</t>
  </si>
  <si>
    <t>Forgot titrino rinse</t>
  </si>
  <si>
    <t>co2data 23-10 (2).txt</t>
  </si>
  <si>
    <t>0-0  0  (0)nose-251023-02-4_2mL-0_15incrmL.dat</t>
  </si>
  <si>
    <t>co2data 23-10 (3).txt</t>
  </si>
  <si>
    <t>0-0  0  (0)nose-251023-03-3_6mL-0_15incrmL.dat</t>
  </si>
  <si>
    <t>co2data 23-10 (4).txt</t>
  </si>
  <si>
    <t>0-0  0  (0)nose-251023-04-3_0mL-0_15incrmL.dat</t>
  </si>
  <si>
    <t>co2data 23-10 (5).txt</t>
  </si>
  <si>
    <t>0-0  0  (0)nose-251023-05-2_4mL-0_15incrmL.dat</t>
  </si>
  <si>
    <t>co2data 23-10 (6).txt</t>
  </si>
  <si>
    <t>0-0  0  (0)nose-251023-06-2_1mL-0_15incrmL.dat</t>
  </si>
  <si>
    <t>co2data 23-10 (7).txt</t>
  </si>
  <si>
    <t>0-0  0  (0)nose-251023-07-1_8mL-0_15incrmL.dat</t>
  </si>
  <si>
    <t>co2data 23-10 (8).txt</t>
  </si>
  <si>
    <t>0-0  0  (0)nose-251023-08-1_5mL-0_15incrmL.dat</t>
  </si>
  <si>
    <t>co2data 23-10 (9).txt</t>
  </si>
  <si>
    <t>0-0  0  (0)nose-251023-09-1_2mL-0_15incrmL.dat</t>
  </si>
  <si>
    <t>co2data 23-10 (10).txt</t>
  </si>
  <si>
    <t>0-0  0  (0)nose-251023-10-1_2mL-0_15incrmL.dat</t>
  </si>
  <si>
    <t>co2data 23-10 (11).txt</t>
  </si>
  <si>
    <t>0-0  0  (0)nose-251023-11-0_6mL-0_15incrmL.dat</t>
  </si>
  <si>
    <t>co2data 23-10 (12).txt</t>
  </si>
  <si>
    <t>0-0  0  (0)nose-251023-12-0_15mL-0_15incrmL.dat</t>
  </si>
  <si>
    <t>co2data 23-10 (13).txt</t>
  </si>
  <si>
    <t>0-0  0  (0)nose-251023-13-0_0mL-0_15incrmL.dat</t>
  </si>
  <si>
    <t>co2data 23-10 (15).txt</t>
  </si>
  <si>
    <t>0-0  0  (0)nose-251023-14-0_15mL-0_15incrmL.dat</t>
  </si>
  <si>
    <t>co2data 23-10 (17).txt</t>
  </si>
  <si>
    <t>0-0  0  (0)nose-251023-15-0_15mL-0_15incrmL.dat</t>
  </si>
  <si>
    <t>co2data 23-10 (18).txt</t>
  </si>
  <si>
    <t>0-0  0  (0)nose-251023-16-0_0mL-0_15incrmL.dat</t>
  </si>
  <si>
    <t>co2data 23-10 (19).txt</t>
  </si>
  <si>
    <t>0-0  0  (0)nose-251027-01-4_2mL-0_15incrmL.dat</t>
  </si>
  <si>
    <t>co2data 27-10 (3).txt</t>
  </si>
  <si>
    <t>0-0  0  (0)nose-251027-02-3_75mL-0_15incrmL.dat</t>
  </si>
  <si>
    <t>co2data 27-10 (5).txt</t>
  </si>
  <si>
    <t>0-0  0  (0)nose-251027-03-3_3mL-0_15incrmL.dat</t>
  </si>
  <si>
    <t>co2data 27-10 (6).txt</t>
  </si>
  <si>
    <t>0-0  0  (0)nose-251027-04-2_85mL-0_15incrmL.dat</t>
  </si>
  <si>
    <t>co2data 27-10 (7).txt</t>
  </si>
  <si>
    <t>0-0  0  (0)nose-251027-05-2_85mL-0_15incrmL.dat</t>
  </si>
  <si>
    <t>co2data 27-10 (8).txt</t>
  </si>
  <si>
    <t>0-0  0  (0)nose-251027-06-2_4mL-0_15incrmL.dat</t>
  </si>
  <si>
    <t>co2data 27-10 (9).txt</t>
  </si>
  <si>
    <t>0-0  0  (0)nose-251027-07-1_95mL-0_15incrmL.dat</t>
  </si>
  <si>
    <t>co2data 27-10 (10).txt</t>
  </si>
  <si>
    <t>0-0  0  (0)nose-251027-08-1_5mL-0_15incrmL.dat</t>
  </si>
  <si>
    <t>co2data 27-10 (11).txt</t>
  </si>
  <si>
    <t>0-0  0  (0)nose-251027-09-1_05mL-0_15incrmL.dat</t>
  </si>
  <si>
    <t>co2data 27-10 (12).txt</t>
  </si>
  <si>
    <t>0-0  0  (0)nose-251027-10-0_6mL-0_15incrmL.dat</t>
  </si>
  <si>
    <t>co2data 27-10 (13).txt</t>
  </si>
  <si>
    <t>0-0  0  (0)nose-251027-11-0_0mL-0_15incrmL.dat</t>
  </si>
  <si>
    <t>co2data 27-10 (16).txt</t>
  </si>
  <si>
    <t>0-0  0  (0)nose-251027-12-4_2mL-0_15incrmL.dat</t>
  </si>
  <si>
    <t>co2data 27-10 (17).txt</t>
  </si>
  <si>
    <t>0-0  0  (0)nose-251028-01-4_2mL-0_15incrmL.dat</t>
  </si>
  <si>
    <t>0-0  0  (0)nose-251028-02-4_2mL-0_15incrmL.dat</t>
  </si>
  <si>
    <t>co2data 28-10 (4).txt</t>
  </si>
  <si>
    <t>0-0  0  (0)nose-251028-03-3_9mL-0_15incrmL.dat</t>
  </si>
  <si>
    <t>co2data 28-10 (6).txt</t>
  </si>
  <si>
    <t>0-0  0  (0)nose-251028-04-3_6mL-0_15incrmL.dat</t>
  </si>
  <si>
    <t>co2data 28-10 (7).txt</t>
  </si>
  <si>
    <t>0-0  0  (0)nose-251028-05-3_15mL-0_15incrmL.dat</t>
  </si>
  <si>
    <t>co2data 28-10 (9).txt</t>
  </si>
  <si>
    <t>0-0  0  (0)nose-251028-06-2_7mL-0_15incrmL.dat</t>
  </si>
  <si>
    <t>co2data 28-10 (10).txt</t>
  </si>
  <si>
    <t>0-0  0  (0)nose-251028-07-2_25mL-0_15incrmL.dat</t>
  </si>
  <si>
    <t>co2data 28-10 (11).txt</t>
  </si>
  <si>
    <t>0-0  0  (0)nose-251028-08-1_95mL-0_15incrmL.dat</t>
  </si>
  <si>
    <t>co2data 28-10 (12).txt</t>
  </si>
  <si>
    <t>0-0  0  (0)nose-251028-09-1_65mL-0_15incrmL.dat</t>
  </si>
  <si>
    <t>co2data 28-10 (13).txt</t>
  </si>
  <si>
    <t>0-0  0  (0)nose-251028-10-1_35mL-0_15incrmL.dat</t>
  </si>
  <si>
    <t>co2data 28-10 (14).txt</t>
  </si>
  <si>
    <t>0-0  0  (0)nose-251028-11-0_9mL-0_15incrmL.dat</t>
  </si>
  <si>
    <t>co2data 28-10 (15).txt</t>
  </si>
  <si>
    <t>0-0  0  (0)nose-251028-12-0_75mL-0_15incrmL.dat</t>
  </si>
  <si>
    <t>0-0  0  (0)junk_old-251029-01-4_2mL-0_15incrmL.dat</t>
  </si>
  <si>
    <t>Junk_old</t>
  </si>
  <si>
    <t>0-0  0  (0)junk_old-251029-02-4_2mL-0_15incrmL.dat</t>
  </si>
  <si>
    <t>0-0  0  (0)junk_old-251029-03-4_2mL-0_15incrmL.dat</t>
  </si>
  <si>
    <t>co2data 29-10 (3).txt</t>
  </si>
  <si>
    <t>0-0  0  (0)junk_old-251029-04-4_2mL-0_15incrmL.dat</t>
  </si>
  <si>
    <t>co2data 29-10 (4).txt</t>
  </si>
  <si>
    <t>0-0  0  (0)junk_old-251029-05-4_2mL-0_15incrmL.dat</t>
  </si>
  <si>
    <t>co2data 29-10 (5).txt</t>
  </si>
  <si>
    <t>0-0  0  (0)junk_old-251029-06-4_2mL-0_15incrmL.dat</t>
  </si>
  <si>
    <t>co2data 29-10 (7).txt</t>
  </si>
  <si>
    <t>0-0  0  (0)nose-251029-07-4_2mL-0_15incrmL.dat</t>
  </si>
  <si>
    <t>co2data 29-10 (9).txt</t>
  </si>
  <si>
    <t>0-0  0  (0)nose-251029-08-0_75mL-0_15incrmL.dat</t>
  </si>
  <si>
    <t>co2data 29-10 (10).txt</t>
  </si>
  <si>
    <t>0-0  0  (0)nose-251029-09-0_0mL-0_15incrmL.dat</t>
  </si>
  <si>
    <t>co2data 29-10 (11).txt</t>
  </si>
  <si>
    <t>Nuts for Karel</t>
  </si>
  <si>
    <t>0-0  0  (0)nuts-251029-10-4_2mL-0_15incrmL.dat</t>
  </si>
  <si>
    <t>Nuts</t>
  </si>
  <si>
    <t>co2data 29-10 (14).txt</t>
  </si>
  <si>
    <t>0-0  0  (0)nuts-251029-11-4_2mL-0_15incrmL.dat</t>
  </si>
  <si>
    <t>0-0  0  (0)nuts-251029-12-4_2mL-0_15incrmL.dat</t>
  </si>
  <si>
    <t>co2data 29-10 (18).txt</t>
  </si>
  <si>
    <t>0-0  0  (0)junk_old-251029-13-4_2mL-0_15incrmL.dat</t>
  </si>
  <si>
    <t>0-0  0  (0)junk_old-251030-01-4_2mL-0_15incrmL.dat</t>
  </si>
  <si>
    <t>0-0  0  (0)junk_old-251030-02-4_2mL-0_15incrmL.dat</t>
  </si>
  <si>
    <t>co2data 30-10 (3).txt</t>
  </si>
  <si>
    <t>0-0  0  (0)junk_old-251030-03-4_2mL-0_15incrmL.dat</t>
  </si>
  <si>
    <t>co2data 30-10 (5).txt</t>
  </si>
  <si>
    <t>0-0  0  (0)junk_old-251030-04-2_25mL-0_15incrmL.dat</t>
  </si>
  <si>
    <t>co2data 30-10 (6).txt</t>
  </si>
  <si>
    <t>0-0  0  (0)junk_old-251030-05-3_6mL-0_15incrmL.dat</t>
  </si>
  <si>
    <t>co2data 30-10 (7).txt</t>
  </si>
  <si>
    <t>0-0  0  (0)junk_old-251030-06-3_0mL-0_15incrmL.dat</t>
  </si>
  <si>
    <t>co2data 30-10 (8).txt</t>
  </si>
  <si>
    <t>0-0  0  (0)junk_old-251030-07-2_4mL-0_15incrmL.dat</t>
  </si>
  <si>
    <t>co2data 30-10 (9).txt</t>
  </si>
  <si>
    <t>0-0  0  (0)junk_old-251030-08-1_95mL-0_15incrmL.dat</t>
  </si>
  <si>
    <t>co2data 30-10 (10).txt</t>
  </si>
  <si>
    <t>0-0  0  (0)junk_old-251030-09-0_0mL-0_15incrmL.dat</t>
  </si>
  <si>
    <t>co2data 30-10 (11).txt</t>
  </si>
  <si>
    <t>0-0  0  (0)junk_old-251030-10-1_65mL-0_15incrmL.dat</t>
  </si>
  <si>
    <t>co2data 30-10 (13).txt</t>
  </si>
  <si>
    <t>0-0  0  (0)junk_old-251030-11-1_2mL-0_15incrmL.dat</t>
  </si>
  <si>
    <t>co2data 30-10 (14).txt</t>
  </si>
  <si>
    <t>0-0  0  (0)junk_old-251030-12-1_2mL-0_15incrmL.dat</t>
  </si>
  <si>
    <t>co2data 30-10 (15).txt</t>
  </si>
  <si>
    <t>0-0  0  (0)junk_old-251030-13-4_2mL-0_15incrmL.dat</t>
  </si>
  <si>
    <t>co2data 30-10 (16).txt</t>
  </si>
  <si>
    <t>0-0  0  (0)junk_old-251030-14-1_65mL-0_15incrmL.dat</t>
  </si>
  <si>
    <t>co2data 30-10 (17).txt</t>
  </si>
  <si>
    <t>0-0  0  (0)junk_old-251030-15-1_05mL-0_15incrmL.dat</t>
  </si>
  <si>
    <t>co2data 30-10 (18).txt</t>
  </si>
  <si>
    <t>0-0  0  (0)junk_old-251030-16-0_9mL-0_15incrmL.dat</t>
  </si>
  <si>
    <t>co2data 30-10 (19).txt</t>
  </si>
  <si>
    <t>0-0  0  (0)junk_old-251030-17-0_75mL-0_15incrmL.dat</t>
  </si>
  <si>
    <t>co2data 30-10 (20).txt</t>
  </si>
  <si>
    <t>0-0  0  (0)junk_old-251030-18-0_6mL-0_15incrmL.dat</t>
  </si>
  <si>
    <t>co2data 30-10 (22).txt</t>
  </si>
  <si>
    <t>0-0  0  (0)junk_old-251030-19-0_45mL-0_15incrmL.dat</t>
  </si>
  <si>
    <t>co2data 30-10 (23).txt</t>
  </si>
  <si>
    <t>0-0  0  (0)junk_old-251030-20-0_3mL-0_15incrmL.dat</t>
  </si>
  <si>
    <t>co2data 30-10 (24).txt</t>
  </si>
  <si>
    <t>0-0  0  (0)junk_old-251030-21-0_15mL-0_15incrmL.dat</t>
  </si>
  <si>
    <t>co2data 30-10 (25).txt</t>
  </si>
  <si>
    <t>0-0  0  (0)junk_old-251030-22-0_0mL-0_15incrmL.dat</t>
  </si>
  <si>
    <t>co2data 30-10 (26).txt</t>
  </si>
  <si>
    <t>0-0  0  (0)junk_old-251030-23-4_2mL-0_15incrmL.dat</t>
  </si>
  <si>
    <t>messy measurement, acid tube not in properly</t>
  </si>
  <si>
    <t>co2data 30-10 (28).txt</t>
  </si>
  <si>
    <t>0-0  0  (0)junk_old-251103-01-4_2mL-0_15incrmL.dat</t>
  </si>
  <si>
    <t>0-0  0  (0)junk_old-251103-02-4_2mL-0_15incrmL.dat</t>
  </si>
  <si>
    <t>0-0  0  (0)junk_old-251103-03-4_2mL-0_15incrmL.dat</t>
  </si>
  <si>
    <t>co2data 03-11 (6).txt</t>
  </si>
  <si>
    <t>0-0  0  (0)junk_old-251103-04-3_0mL-3_0incrmL.dat</t>
  </si>
  <si>
    <t>co2data 03-11 (8).txt</t>
  </si>
  <si>
    <t>0-0  0  (0)junk_old-251103-05-3_0mL-3_0incrmL.dat</t>
  </si>
  <si>
    <t>co2data 03-11 (9).txt</t>
  </si>
  <si>
    <t>0-0  0  (0)junk_old-251103-06-3_0mL-3_0incrmL.dat</t>
  </si>
  <si>
    <t>co2data 03-11 (10).txt</t>
  </si>
  <si>
    <t>0-0  0  (0)junk_old-251103-07-3_0mL-3_0incrmL.dat</t>
  </si>
  <si>
    <t>co2data 03-11 (11).txt</t>
  </si>
  <si>
    <t>0-0  0  (0)junk_old-251103-08-3_0mL-3_0incrmL.dat</t>
  </si>
  <si>
    <t>co2data 03-11 (12).txt</t>
  </si>
  <si>
    <t>0-0  0  (0)junk_old-251103-09-3_0mL-3_0incrmL.dat</t>
  </si>
  <si>
    <t>co2data 03-11 (13).txt</t>
  </si>
  <si>
    <t>0-0  0  (0)junk_old-251103-10-3_0mL-3_0incrmL.dat</t>
  </si>
  <si>
    <t>co2data 03-11 (14).txt</t>
  </si>
  <si>
    <t>0-0  0  (0)junk_old-251103-11-3_0mL-3_0incrmL.dat</t>
  </si>
  <si>
    <t>co2data 03-11 (15).txt</t>
  </si>
  <si>
    <t>0-0  0  (0)junk_old-251103-12-3_0mL-3_0incrmL.dat</t>
  </si>
  <si>
    <t>co2data 03-11 (16).txt</t>
  </si>
  <si>
    <t>0-0  0  (0)junk_old-251103-13-3_0mL-3_0incrmL.dat</t>
  </si>
  <si>
    <t>co2data 03-11 (17).txt</t>
  </si>
  <si>
    <t>0-0  0  (0)junk_old-251103-14-3_0mL-3_0incrmL.dat</t>
  </si>
  <si>
    <t>co2data 03-11 (18).txt</t>
  </si>
  <si>
    <t>0-0  0  (0)junk_old-251104-01-4_2mL-0_15incrmL.dat</t>
  </si>
  <si>
    <t>0-0  0  (0)junk_old-251104-02-1_65mL-1_65incrmL.dat</t>
  </si>
  <si>
    <t>co2data 04-11 (6).txt</t>
  </si>
  <si>
    <t>0-0  0  (0)junk_old-251104-03-1_65mL-1_65incrmL.dat</t>
  </si>
  <si>
    <t>co2data 04-11 (7).txt</t>
  </si>
  <si>
    <t>0-0  0  (0)junk_old-251104-04-4_2mL-4_2incrmL.dat</t>
  </si>
  <si>
    <t>co2data 04-11 (8).txt</t>
  </si>
  <si>
    <t>0-0  0  (0)junk_old-251104-05-1_65mL-1_65incrmL.dat</t>
  </si>
  <si>
    <t>co2data 04-11 (9).txt</t>
  </si>
  <si>
    <t>0-0  0  (0)junk_old-251104-06-1_65mL-1_65incrmL.dat</t>
  </si>
  <si>
    <t>co2data 04-11 (10).txt</t>
  </si>
  <si>
    <t>0-0  0  (0)junk_old-251104-07-1_65mL-1_65incrmL.dat</t>
  </si>
  <si>
    <t>co2data 04-11 (11).txt</t>
  </si>
  <si>
    <t>0-0  0  (0)junk_old-251104-08-1_65mL-1_65incrmL.dat</t>
  </si>
  <si>
    <t>co2data 04-11 (12).txt</t>
  </si>
  <si>
    <t>0-0  0  (0)junk_old-251104-09-1_65mL-1_65incrmL.dat</t>
  </si>
  <si>
    <t>co2data 04-11 (14).txt</t>
  </si>
  <si>
    <t>0-0  0  (0)junk_old-251104-10-4_2mL-0_15incrmL.dat</t>
  </si>
  <si>
    <t>0-0  0  (0)junk_old-251105-01-4_2mL-0_15incrmL.dat</t>
  </si>
  <si>
    <t>0-0  0  (0)junk_old-251105-02-4_2mL-0_15incrmL.dat</t>
  </si>
  <si>
    <t>co2data 05-11 (5).txt</t>
  </si>
  <si>
    <t>0-0  0  (0)junk_old-251105-03-4_2mL-0_15incrmL.dat</t>
  </si>
  <si>
    <t>co2data 05-11 (7).txt</t>
  </si>
  <si>
    <t>0-0  0  (0)junk_old-251105-04-4_2mL-0_15incrmL.dat</t>
  </si>
  <si>
    <t>co2data 05-11 (9).txt</t>
  </si>
  <si>
    <t>0-0  0  (0)junk_old-251105-05-4_2mL-0_15incrmL.dat</t>
  </si>
  <si>
    <t>co2data 05-11 (10).txt</t>
  </si>
  <si>
    <t>0-0  0  (0)junk_old-251105-06-4_2mL-0_15incrmL.dat</t>
  </si>
  <si>
    <t>co2data 05-11 (12).txt</t>
  </si>
  <si>
    <t>0-0  0  (0)junk_old-251105-07-4_2mL-0_15incrmL.dat</t>
  </si>
  <si>
    <t>co2data 05-11 (13).txt</t>
  </si>
  <si>
    <t>0-0  0  (0)junk_old_2-251107-01-4_2mL-0_15incrmL.dat</t>
  </si>
  <si>
    <t>Junk_old_2</t>
  </si>
  <si>
    <t>co2data 07-11 (4).txt</t>
  </si>
  <si>
    <t>0-0  0  (0)junk_old_2-251107-02-4_2mL-0_15incrmL.dat</t>
  </si>
  <si>
    <t>co2data 07-11 (5).txt</t>
  </si>
  <si>
    <t>0-0  0  (0)junk_old_2-251107-03-4_2mL-0_15incrmL.dat</t>
  </si>
  <si>
    <t>co2data 07-11 (6).txt</t>
  </si>
  <si>
    <t>0-0  0  (0)junk_old_2-251107-04-4_2mL-0_15incrmL.dat</t>
  </si>
  <si>
    <t>co2data 07-11 (7).txt</t>
  </si>
  <si>
    <t>0-0  0  (0)junk_old_2-251107-05-4_2mL-0_15incrmL.dat</t>
  </si>
  <si>
    <t>co2data 07-11 (8).txt</t>
  </si>
  <si>
    <t>0-0  0  (0)junk_old_2-251107-06-2_55mL0_15incrmL.dat</t>
  </si>
  <si>
    <t>messed up file name 0_15 ml incr not automatically imported</t>
  </si>
  <si>
    <t>co2data 07-11 (9).txt</t>
  </si>
  <si>
    <t>0-0  0  (0)junk_old_2-251107-07-2_7mL0_15incrmL.dat</t>
  </si>
  <si>
    <t>co2data 07-11 (10).txt</t>
  </si>
  <si>
    <t>0-0  0  (0)junk_old_2-251107-08-2_7mL0_15incrmL.dat</t>
  </si>
  <si>
    <t>co2data 07-11 (12).txt</t>
  </si>
  <si>
    <t>0-0  0  (0)junk_old_2-251107-09-2_7mL0_15incrmL.dat</t>
  </si>
  <si>
    <t>co2data 07-11 (14).txt</t>
  </si>
  <si>
    <t>0-0  0  (0)junk_old_2-251107-10-4_2mL0_15incrmL.dat</t>
  </si>
  <si>
    <t>co2data 07-11 (15).txt</t>
  </si>
  <si>
    <t>0-0  0  (0)junk_old_2-251110-01-4_2mL-0_15incrmL.dat</t>
  </si>
  <si>
    <t>BOBOMETER UNSTABLE</t>
  </si>
  <si>
    <t>0-0  0  (0)junk_old_2-251110-02-4_2mL-0_15incrmL.dat</t>
  </si>
  <si>
    <t>0-0  0  (0)junk_old_2-251110-03-4_2mL-0_15incrmL.dat</t>
  </si>
  <si>
    <t>0-0  0  (0)junk_old_2-251110-04-4_2mL-0_15incrmL.dat</t>
  </si>
  <si>
    <t>0-0  0  (0)junk_old_2-251110-05-4_2mL-0_15incrmL.dat</t>
  </si>
  <si>
    <t>0-0  0  (0)CRM-251110-06-4_2mL-0_15incrmL.dat</t>
  </si>
  <si>
    <t>Batch #219</t>
  </si>
  <si>
    <t>0-0  0  (0)junk_old_2-251110-07-4_2mL-0_15incrmL.dat</t>
  </si>
  <si>
    <t>0-0  0  (0)junk_old_2-251110-08-4_2mL-0_15incrmL.dat</t>
  </si>
  <si>
    <t>0-0  0  (0)junk_old_2-251110-09-4_05mL-0_15incrmL.dat</t>
  </si>
  <si>
    <t>0-0  0  (0)junk_old_2-251110-10-3_9mL-0_15incrmL.dat</t>
  </si>
  <si>
    <t>0-0  0  (0)junk_old_2-251110-11-4_2mL-0_15incrmL.dat</t>
  </si>
  <si>
    <t>0-0  0  (0)junk_old_2-251110-12-4_2mL-0_15incrmL.dat</t>
  </si>
  <si>
    <t>0-0  0  (0)junk_old_2-251111-01-4_2mL-0_15incrmL.dat</t>
  </si>
  <si>
    <t>0-0  0  (0)junk_old_2-251111-02-4_2mL-0_15incrmL.dat</t>
  </si>
  <si>
    <t>co2data 11-11 (3).txt</t>
  </si>
  <si>
    <t>0-0  0  (0)junk_old_2-251111-03-4_05mL-0_15incrmL.dat</t>
  </si>
  <si>
    <t>co2data 11-11 (4).txt</t>
  </si>
  <si>
    <t>0-0  0  (0)junk_old_2-251111-04-3_9mL-0_15incrmL.dat</t>
  </si>
  <si>
    <t>co2data 11-11 (5).txt</t>
  </si>
  <si>
    <t>0-0  0  (0)junk_old_2-251111-05-3_75mL-0_15incrmL.dat</t>
  </si>
  <si>
    <t>co2data 11-11 (6).txt</t>
  </si>
  <si>
    <t>0-0  0  (0)junk_old_2-251111-06-3_6mL-0_15incrmL.dat</t>
  </si>
  <si>
    <t>co2data 11-11 (7).txt</t>
  </si>
  <si>
    <t>0-0  0  (0)junk_old_2-251111-07-3_45mL-0_15incrmL.dat</t>
  </si>
  <si>
    <t>co2data 11-11 (8).txt</t>
  </si>
  <si>
    <t>0-0  0  (0)junk_old_2-251111-08-3_3mL-0_15incrmL.dat</t>
  </si>
  <si>
    <t>co2data 11-11 (9).txt</t>
  </si>
  <si>
    <t>0-0  0  (0)junk_old_2-251111-09-3_15mL-0_15incrmL.dat</t>
  </si>
  <si>
    <t>co2data 11-11 (10).txt</t>
  </si>
  <si>
    <t>0-0  0  (0)junk_old_2-251111-10-3_0mL-0_15incrmL.dat</t>
  </si>
  <si>
    <t>0-0  0  (0)junk_old_2-251111-11-3_0mL-0_15incrmL.dat</t>
  </si>
  <si>
    <t>co2data 11-11 (12).txt</t>
  </si>
  <si>
    <t>0-0  0  (0)junk_old_2-251111-12-2_7mL-0_15incrmL.dat</t>
  </si>
  <si>
    <t>co2data 11-11 (13).txt</t>
  </si>
  <si>
    <t>0-0  0  (0)junk_old_2-251111-13-2_4mL-0_15incrmL.dat</t>
  </si>
  <si>
    <t>co2data 11-11 (14).txt</t>
  </si>
  <si>
    <t>0-0  0  (0)junk_old_2-251111-14-2_1mL-0_15incrmL.dat</t>
  </si>
  <si>
    <t>co2data 11-11 (15).txt</t>
  </si>
  <si>
    <t>0-0  0  (0)junk_old_2-251111-15-4_2mL-0_15incrmL.dat</t>
  </si>
  <si>
    <t>co2data 11-11 (16).txt</t>
  </si>
  <si>
    <t>0-0  0  (0)junk_old_2-251111-16-1_8mL-0_15incrmL.dat</t>
  </si>
  <si>
    <t>co2data 11-11 (18).txt</t>
  </si>
  <si>
    <t>0-0  0  (0)junk_old_2-251111-17-1_5mL-0_15incrmL.dat</t>
  </si>
  <si>
    <t>co2data 11-11 (19).txt</t>
  </si>
  <si>
    <t>0-0  0  (0)junk_old_2-251111-18-1_2mL-0_15incrmL.dat</t>
  </si>
  <si>
    <t>co2data 11-11 (20).txt</t>
  </si>
  <si>
    <t>0-0  0  (0)junk_old_2-251111-19-0_9mL-0_15incrmL.dat</t>
  </si>
  <si>
    <t>co2data 11-11 (21).txt</t>
  </si>
  <si>
    <t>0-0  0  (0)junk_old_2-251111-20-0_6mL-0_15incrmL.dat</t>
  </si>
  <si>
    <t>co2data 11-11 (22).txt</t>
  </si>
  <si>
    <t>0-0  0  (0)junk_old_2-251111-21-0_3mL-0_15incrmL.dat</t>
  </si>
  <si>
    <t>co2data 11-11 (23).txt</t>
  </si>
  <si>
    <t>0-0  0  (0)junk_old_2-251111-22-0_0mL-0_15incrmL.dat</t>
  </si>
  <si>
    <t>co2data 11-11 (24).txt</t>
  </si>
  <si>
    <t>0-0  0  (0)junk_old_2-251111-23-4_2mL-0_15incrmL.dat</t>
  </si>
  <si>
    <t>co2data 11-11 (26).txt</t>
  </si>
  <si>
    <t>0-0  0  (0)junk_old_2-251111-24-0_9mL-0_15incrmL.dat</t>
  </si>
  <si>
    <t>co2data 11-11 (27).txt</t>
  </si>
  <si>
    <t>0-0  0  (0)junk_old_3-251112-01-4_2mL-0_15incrmL.dat</t>
  </si>
  <si>
    <t>Junk_old_3</t>
  </si>
  <si>
    <t>0-0  0  (0)junk_old_3-251112-02-4_2mL-0_15incrmL.dat</t>
  </si>
  <si>
    <t>co2data 12-11 (4).txt</t>
  </si>
  <si>
    <t>0-0  0  (0)junk_old_3-251112-03-4_2mL-0_15incrmL.dat</t>
  </si>
  <si>
    <t>co2data 12-11 (5).txt</t>
  </si>
  <si>
    <t>0-0  0  (0)junk_old_3-251112-04-4_2mL-0_15incrmL.dat</t>
  </si>
  <si>
    <t>co2data 12-11 (6).txt</t>
  </si>
  <si>
    <t>0-0  0  (0)junk_old_3-251112-05-4_2mL-0_15incrmL_mixing-time-8sec.dat</t>
  </si>
  <si>
    <t>co2data 12-11 (7).txt</t>
  </si>
  <si>
    <t>0-0  0  (0)junk_old_3-251112-06-4_2mL-0_15incrmL_mixing-time-8sec.dat</t>
  </si>
  <si>
    <t>co2data 12-11 (8).txt</t>
  </si>
  <si>
    <t>0-0  0  (0)junk_old_3-251112-07-4_2mL-0_15incrmL_mixing-time-8sec.dat</t>
  </si>
  <si>
    <t>co2data 12-11 (10).txt</t>
  </si>
  <si>
    <t>0-0  0  (0)junk_old_3-251112-08-4_2mL-0_15incrmL_mixing-time-8sec.dat</t>
  </si>
  <si>
    <t>co2data 12-11 (11).txt</t>
  </si>
  <si>
    <t>0-0  0  (0)junk_old_3-251112-09-4_2mL-0_15incrmL_mixing-time-8sec.dat</t>
  </si>
  <si>
    <t>co2data 12-11 (12).txt</t>
  </si>
  <si>
    <t>0-0  0  (0)junk_old_3-251112-10-4_2mL-0_15incrmL_mixing-time-6sec.dat</t>
  </si>
  <si>
    <t>co2data 12-11 (13).txt</t>
  </si>
  <si>
    <t>0-0  0  (0)junk_old_3-251112-11-4_2mL-0_15incrmL_mixing-time-6sec.dat</t>
  </si>
  <si>
    <t>co2data 12-11 (14).txt</t>
  </si>
  <si>
    <t>0-0  0  (0)junk_old_3-251112-12-4_2mL-0_15incrmL_mixing-time-6sec.dat</t>
  </si>
  <si>
    <t>co2data 12-11 (15).txt</t>
  </si>
  <si>
    <t>0-0  0  (0)junk_old_3-251112-13-4_2mL-0_15incrmL_mixing-time-10sec.dat</t>
  </si>
  <si>
    <t>0-0  0  (0)junk_old_3-251112-14-4_2mL-0_15incrmL_mixing-time-10sec.dat</t>
  </si>
  <si>
    <t>co2data 12-11 (18).txt</t>
  </si>
  <si>
    <t>0-0  0  (0)junk_old_3-251112-15-4_2mL-0_15incrmL_mixing-time-2sec.dat</t>
  </si>
  <si>
    <t>co2data 12-11 (19).txt</t>
  </si>
  <si>
    <t>0-0  0  (0)junk_old_3-251112-16-4_2mL-0_15incrmL.dat</t>
  </si>
  <si>
    <t>co2data 12-11 (20).txt</t>
  </si>
  <si>
    <t>0-0  0  (0)junk_old_3-251113-01-4_2mL-0_15incrmL.dat</t>
  </si>
  <si>
    <t>co2data 13-11 (2).txt</t>
  </si>
  <si>
    <t>0-0  0  (0)junk_old_3-251113-02-4_2mL-0_15incrmL.dat</t>
  </si>
  <si>
    <t>co2data 13-11 (4).txt</t>
  </si>
  <si>
    <t>0-0  0  (0)junk_old_3-251113-03-0_9mL-0_15incrmL.dat</t>
  </si>
  <si>
    <t>co2data 13-11 (5).txt</t>
  </si>
  <si>
    <t>0-0  0  (0)junk_old_3-251113-04-4_05mL-0_15incrmL.dat</t>
  </si>
  <si>
    <t>co2data 13-11 (6).txt</t>
  </si>
  <si>
    <t>0-0  0  (0)junk_old_3-251113-05-3_9mL-0_15incrmL.dat</t>
  </si>
  <si>
    <t>co2data 13-11 (7).txt</t>
  </si>
  <si>
    <t>0-0  0  (0)junk_old_3-251113-06-3_75mL-0_15incrmL.dat</t>
  </si>
  <si>
    <t>co2data 13-11 (8).txt</t>
  </si>
  <si>
    <t>0-0  0  (0)junk_old_3-251113-07-3_75mL-0_15incrmL.dat</t>
  </si>
  <si>
    <t>co2data 13-11 (9).txt</t>
  </si>
  <si>
    <t>0-0  0  (0)junk_old_3-251113-08-3_75mL-0_15incrmL.dat</t>
  </si>
  <si>
    <t>0-0  0  (0)junk_old_3-251113-09-3_6mL-0_15incrmL.dat</t>
  </si>
  <si>
    <t>co2data 13-11 (11).txt</t>
  </si>
  <si>
    <t>0-0  0  (0)junk_old_3-251113-10-3_45mL-0_15incrmL.dat</t>
  </si>
  <si>
    <t>co2data 13-11 (12).txt</t>
  </si>
  <si>
    <t>0-0  0  (0)junk_old_3-251113-11-3_3mL-0_15incrmL.dat</t>
  </si>
  <si>
    <t>co2data 13-11 (13).txt</t>
  </si>
  <si>
    <t>0-0  0  (0)junk_old_3-251113-12-3_15mL-0_15incrmL.dat</t>
  </si>
  <si>
    <t>co2data 13-11 (14).txt</t>
  </si>
  <si>
    <t>0-0  0  (0)junk_old_3-251113-13-3_0mL-0_15incrmL.dat</t>
  </si>
  <si>
    <t>co2data 13-11 (15).txt</t>
  </si>
  <si>
    <t>0-0  0  (0)junk_old_3-251113-14-2_85mL-0_15incrmL.dat</t>
  </si>
  <si>
    <t>co2data 13-11 (16).txt</t>
  </si>
  <si>
    <t>0-0  0  (0)junk_old_3-251113-15-2_55mL-0_15incrmL.dat</t>
  </si>
  <si>
    <t>0-0  0  (0)junk_old_3-251113-16-0_45mL-0_15incrmL.dat</t>
  </si>
  <si>
    <t>co2data 13-11 (17).txt</t>
  </si>
  <si>
    <t>0-0  0  (0)junk_old_3-251113-17-2_55mL-0_15incrmL.dat</t>
  </si>
  <si>
    <t>co2data 13-11 (18).txt</t>
  </si>
  <si>
    <t>0-0  0  (0)junk_old_3-251113-18-2_25mL-0_15incrmL.dat</t>
  </si>
  <si>
    <t>co2data 13-11 (19).txt</t>
  </si>
  <si>
    <t>0-0  0  (0)junk_old_3-251113-19-1_95mL-0_15incrmL.dat</t>
  </si>
  <si>
    <t>co2data 13-11 (20).txt</t>
  </si>
  <si>
    <t>0-0  0  (0)junk_old_3-251113-20-1_65mL-0_15incrmL.dat</t>
  </si>
  <si>
    <t>co2data 13-11 (21).txt</t>
  </si>
  <si>
    <t>0-0  0  (0)junk_old_3-251113-21-1_35mL-0_15incrmL.dat</t>
  </si>
  <si>
    <t>co2data 13-11 (22).txt</t>
  </si>
  <si>
    <t>0-0  0  (0)junk_old_3-251113-22-1_05mL-0_15incrmL.dat</t>
  </si>
  <si>
    <t>co2data 13-11 (23).txt</t>
  </si>
  <si>
    <t>0-0  0  (0)junk_old_3-251113-23-0_0mL-0_15incrmL.dat</t>
  </si>
  <si>
    <t>co2data 13-11 (24).txt</t>
  </si>
  <si>
    <t>0-0  0  (0)junk_old_3-251113-24-4_2mL-0_15incrmL.dat</t>
  </si>
  <si>
    <t>co2data 13-11 (25).txt</t>
  </si>
  <si>
    <t>Calculated in situ DIC (umol/kg) old k 0.03</t>
  </si>
  <si>
    <t>Calculated in situ DIC (umol/kg) k 0.294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</si>
</sst>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339"/>
  <sheetViews>
    <sheetView tabSelected="1" topLeftCell="L301" workbookViewId="0">
      <selection activeCell="AM338" sqref="AM338"/>
    </sheetView>
  </sheetViews>
  <sheetFormatPr defaultRowHeight="14.4" x14ac:dyDescent="0.3"/>
  <sheetData>
    <row r="1" spans="1:4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657</v>
      </c>
      <c r="R1" s="1" t="s">
        <v>656</v>
      </c>
      <c r="S1" s="1"/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</row>
    <row r="2" spans="1:40" x14ac:dyDescent="0.3">
      <c r="B2" t="s">
        <v>37</v>
      </c>
      <c r="C2" s="2">
        <v>45916</v>
      </c>
      <c r="D2" t="s">
        <v>38</v>
      </c>
      <c r="E2">
        <v>1</v>
      </c>
      <c r="H2" t="s">
        <v>39</v>
      </c>
      <c r="I2" t="s">
        <v>40</v>
      </c>
      <c r="J2">
        <v>21.3</v>
      </c>
      <c r="K2">
        <v>159.30000000000001</v>
      </c>
      <c r="L2">
        <v>30</v>
      </c>
      <c r="M2">
        <v>0.10064399</v>
      </c>
      <c r="N2">
        <v>2300</v>
      </c>
      <c r="O2">
        <v>2253.3693768765329</v>
      </c>
      <c r="S2">
        <f>Q2-R2</f>
        <v>0</v>
      </c>
      <c r="V2">
        <v>4</v>
      </c>
      <c r="X2">
        <v>4.2</v>
      </c>
      <c r="Y2">
        <v>0.15</v>
      </c>
    </row>
    <row r="3" spans="1:40" x14ac:dyDescent="0.3">
      <c r="B3" t="s">
        <v>41</v>
      </c>
      <c r="C3" s="2">
        <v>45916</v>
      </c>
      <c r="D3" t="s">
        <v>38</v>
      </c>
      <c r="E3">
        <v>2</v>
      </c>
      <c r="J3">
        <v>25.9</v>
      </c>
      <c r="K3">
        <v>162.75</v>
      </c>
      <c r="L3">
        <v>30</v>
      </c>
      <c r="M3">
        <v>0.10064399</v>
      </c>
      <c r="N3">
        <v>2300</v>
      </c>
      <c r="O3">
        <v>2253.3693768765329</v>
      </c>
      <c r="S3">
        <f t="shared" ref="S3:S66" si="0">Q3-R3</f>
        <v>0</v>
      </c>
      <c r="V3">
        <v>4</v>
      </c>
      <c r="X3">
        <v>4.2</v>
      </c>
      <c r="Y3">
        <v>0.15</v>
      </c>
      <c r="Z3">
        <v>634.45661332931536</v>
      </c>
      <c r="AA3">
        <v>2495.1599113613488</v>
      </c>
      <c r="AI3">
        <v>2464.856309104724</v>
      </c>
      <c r="AJ3">
        <v>2480.7179744680639</v>
      </c>
      <c r="AK3">
        <v>2473.4168500492178</v>
      </c>
    </row>
    <row r="4" spans="1:40" x14ac:dyDescent="0.3">
      <c r="B4" t="s">
        <v>42</v>
      </c>
      <c r="C4" s="2">
        <v>45916</v>
      </c>
      <c r="D4" t="s">
        <v>38</v>
      </c>
      <c r="E4">
        <v>3</v>
      </c>
      <c r="J4">
        <v>25.9</v>
      </c>
      <c r="K4">
        <v>161.75</v>
      </c>
      <c r="L4">
        <v>30</v>
      </c>
      <c r="M4">
        <v>0.10064399</v>
      </c>
      <c r="N4">
        <v>2300</v>
      </c>
      <c r="O4">
        <v>2253.3693768765329</v>
      </c>
      <c r="S4">
        <f t="shared" si="0"/>
        <v>0</v>
      </c>
      <c r="V4">
        <v>4</v>
      </c>
      <c r="W4">
        <v>1</v>
      </c>
      <c r="X4">
        <v>4.2</v>
      </c>
      <c r="Y4">
        <v>0.15</v>
      </c>
      <c r="Z4">
        <v>633.93043158241653</v>
      </c>
      <c r="AA4">
        <v>2480.5121267883919</v>
      </c>
      <c r="AB4">
        <v>2477.3040000000001</v>
      </c>
      <c r="AC4">
        <v>7.5510000000000002</v>
      </c>
      <c r="AI4">
        <v>2452.3160342736292</v>
      </c>
      <c r="AJ4">
        <v>2468.0967724823381</v>
      </c>
      <c r="AK4">
        <v>2461.3672387278411</v>
      </c>
    </row>
    <row r="5" spans="1:40" x14ac:dyDescent="0.3">
      <c r="B5" t="s">
        <v>43</v>
      </c>
      <c r="C5" s="2">
        <v>45916</v>
      </c>
      <c r="D5" t="s">
        <v>38</v>
      </c>
      <c r="E5">
        <v>4</v>
      </c>
      <c r="J5">
        <v>25.9</v>
      </c>
      <c r="K5">
        <v>161.85</v>
      </c>
      <c r="L5">
        <v>30</v>
      </c>
      <c r="M5">
        <v>0.10064399</v>
      </c>
      <c r="N5">
        <v>2300</v>
      </c>
      <c r="O5">
        <v>2253.3693768765329</v>
      </c>
      <c r="S5">
        <f t="shared" si="0"/>
        <v>0</v>
      </c>
      <c r="V5">
        <v>4</v>
      </c>
      <c r="W5">
        <v>1</v>
      </c>
      <c r="X5">
        <v>4.2</v>
      </c>
      <c r="Y5">
        <v>0.15</v>
      </c>
      <c r="Z5">
        <v>633.48268070097788</v>
      </c>
      <c r="AA5">
        <v>2477.5353562746282</v>
      </c>
      <c r="AB5">
        <v>2477.3040000000001</v>
      </c>
      <c r="AC5">
        <v>7.5510000000000002</v>
      </c>
      <c r="AI5">
        <v>2448.4128509535708</v>
      </c>
      <c r="AJ5">
        <v>2464.1683375655462</v>
      </c>
      <c r="AK5">
        <v>2458.497835461184</v>
      </c>
    </row>
    <row r="6" spans="1:40" x14ac:dyDescent="0.3">
      <c r="B6" t="s">
        <v>44</v>
      </c>
      <c r="C6" s="2">
        <v>45916</v>
      </c>
      <c r="D6" t="s">
        <v>38</v>
      </c>
      <c r="E6">
        <v>5</v>
      </c>
      <c r="J6">
        <v>26</v>
      </c>
      <c r="K6">
        <v>161.05000000000001</v>
      </c>
      <c r="L6">
        <v>30</v>
      </c>
      <c r="M6">
        <v>0.10064399</v>
      </c>
      <c r="N6">
        <v>2300</v>
      </c>
      <c r="O6">
        <v>2253.3693768765329</v>
      </c>
      <c r="S6">
        <f t="shared" si="0"/>
        <v>0</v>
      </c>
      <c r="V6">
        <v>4</v>
      </c>
      <c r="W6">
        <v>1</v>
      </c>
      <c r="X6">
        <v>4.2</v>
      </c>
      <c r="Y6">
        <v>0.15</v>
      </c>
      <c r="Z6">
        <v>633.62207836371829</v>
      </c>
      <c r="AA6">
        <v>2478.7248424063891</v>
      </c>
      <c r="AB6">
        <v>2477.3040000000001</v>
      </c>
      <c r="AC6">
        <v>7.5510000000000002</v>
      </c>
      <c r="AI6">
        <v>2450.6392380739999</v>
      </c>
      <c r="AJ6">
        <v>2466.4090388197051</v>
      </c>
      <c r="AK6">
        <v>2459.6437951098728</v>
      </c>
    </row>
    <row r="7" spans="1:40" x14ac:dyDescent="0.3">
      <c r="B7" t="s">
        <v>45</v>
      </c>
      <c r="C7" s="2">
        <v>45916</v>
      </c>
      <c r="D7" t="s">
        <v>38</v>
      </c>
      <c r="E7">
        <v>6</v>
      </c>
      <c r="J7">
        <v>25.9</v>
      </c>
      <c r="K7">
        <v>160.55000000000001</v>
      </c>
      <c r="L7">
        <v>30</v>
      </c>
      <c r="M7">
        <v>0.10064399</v>
      </c>
      <c r="N7">
        <v>2300</v>
      </c>
      <c r="O7">
        <v>2253.3693768765329</v>
      </c>
      <c r="S7">
        <f t="shared" si="0"/>
        <v>0</v>
      </c>
      <c r="U7">
        <v>1050</v>
      </c>
      <c r="V7">
        <v>4</v>
      </c>
      <c r="W7">
        <v>1</v>
      </c>
      <c r="X7">
        <v>4.2</v>
      </c>
      <c r="Y7">
        <v>0.15</v>
      </c>
      <c r="Z7">
        <v>633.43068385434822</v>
      </c>
      <c r="AA7">
        <v>2484.9157188365889</v>
      </c>
      <c r="AB7">
        <v>2477.3040000000001</v>
      </c>
      <c r="AC7">
        <v>7.5510000000000002</v>
      </c>
      <c r="AI7">
        <v>2444.9017996216248</v>
      </c>
      <c r="AJ7">
        <v>2460.6390702467088</v>
      </c>
      <c r="AK7">
        <v>2465.6517152080869</v>
      </c>
    </row>
    <row r="8" spans="1:40" x14ac:dyDescent="0.3">
      <c r="B8" t="s">
        <v>46</v>
      </c>
      <c r="C8" s="2">
        <v>45916</v>
      </c>
      <c r="D8" t="s">
        <v>38</v>
      </c>
      <c r="E8">
        <v>7</v>
      </c>
      <c r="J8">
        <v>26</v>
      </c>
      <c r="K8">
        <v>160.4</v>
      </c>
      <c r="L8">
        <v>30</v>
      </c>
      <c r="M8">
        <v>0.10064399</v>
      </c>
      <c r="N8">
        <v>2300</v>
      </c>
      <c r="O8">
        <v>2253.3693768765329</v>
      </c>
      <c r="S8">
        <f t="shared" si="0"/>
        <v>0</v>
      </c>
      <c r="U8">
        <v>1001</v>
      </c>
      <c r="V8">
        <v>4</v>
      </c>
      <c r="W8">
        <v>1</v>
      </c>
      <c r="X8">
        <v>4.2</v>
      </c>
      <c r="Y8">
        <v>0.15</v>
      </c>
      <c r="Z8">
        <v>633.6314475549832</v>
      </c>
      <c r="AA8">
        <v>2487.073663166796</v>
      </c>
      <c r="AB8">
        <v>2477.3040000000001</v>
      </c>
      <c r="AC8">
        <v>7.5510000000000002</v>
      </c>
      <c r="AI8">
        <v>2458.5016374448542</v>
      </c>
      <c r="AJ8">
        <v>2474.322308686651</v>
      </c>
      <c r="AK8">
        <v>2467.7254267276958</v>
      </c>
    </row>
    <row r="9" spans="1:40" x14ac:dyDescent="0.3">
      <c r="B9" t="s">
        <v>47</v>
      </c>
      <c r="C9" s="2">
        <v>45916</v>
      </c>
      <c r="D9" t="s">
        <v>38</v>
      </c>
      <c r="E9">
        <v>8</v>
      </c>
      <c r="H9" t="s">
        <v>48</v>
      </c>
      <c r="I9" t="s">
        <v>40</v>
      </c>
      <c r="J9">
        <v>25.9</v>
      </c>
      <c r="K9">
        <v>160.44999999999999</v>
      </c>
      <c r="L9">
        <v>30</v>
      </c>
      <c r="M9">
        <v>0.10064399</v>
      </c>
      <c r="N9">
        <v>2300</v>
      </c>
      <c r="O9">
        <v>2253.3693768765329</v>
      </c>
      <c r="S9">
        <f t="shared" si="0"/>
        <v>0</v>
      </c>
      <c r="V9">
        <v>4</v>
      </c>
      <c r="X9">
        <v>4.2</v>
      </c>
      <c r="Y9">
        <v>0.15</v>
      </c>
    </row>
    <row r="10" spans="1:40" x14ac:dyDescent="0.3">
      <c r="B10" t="s">
        <v>49</v>
      </c>
      <c r="C10" s="2">
        <v>45916</v>
      </c>
      <c r="D10" t="s">
        <v>38</v>
      </c>
      <c r="E10">
        <v>9</v>
      </c>
      <c r="J10">
        <v>26</v>
      </c>
      <c r="K10">
        <v>160.44999999999999</v>
      </c>
      <c r="L10">
        <v>30</v>
      </c>
      <c r="M10">
        <v>0.10064399</v>
      </c>
      <c r="N10">
        <v>2300</v>
      </c>
      <c r="O10">
        <v>2253.3693768765329</v>
      </c>
      <c r="S10">
        <f t="shared" si="0"/>
        <v>0</v>
      </c>
      <c r="V10">
        <v>4</v>
      </c>
      <c r="W10">
        <v>1</v>
      </c>
      <c r="X10">
        <v>4.2</v>
      </c>
      <c r="Y10">
        <v>0.15</v>
      </c>
      <c r="Z10">
        <v>633.636238047284</v>
      </c>
      <c r="AA10">
        <v>2476.6465693903551</v>
      </c>
      <c r="AB10">
        <v>2477.3040000000001</v>
      </c>
      <c r="AC10">
        <v>7.5510000000000002</v>
      </c>
      <c r="AI10">
        <v>2448.7746984194318</v>
      </c>
      <c r="AJ10">
        <v>2464.5324416001949</v>
      </c>
      <c r="AK10">
        <v>2457.6260432438648</v>
      </c>
    </row>
    <row r="11" spans="1:40" x14ac:dyDescent="0.3">
      <c r="B11" t="s">
        <v>50</v>
      </c>
      <c r="C11" s="2">
        <v>45916</v>
      </c>
      <c r="D11" t="s">
        <v>38</v>
      </c>
      <c r="E11">
        <v>10</v>
      </c>
      <c r="J11">
        <v>26</v>
      </c>
      <c r="K11">
        <v>160.55000000000001</v>
      </c>
      <c r="L11">
        <v>30</v>
      </c>
      <c r="M11">
        <v>0.10064399</v>
      </c>
      <c r="N11">
        <v>2300</v>
      </c>
      <c r="O11">
        <v>2253.3693768765329</v>
      </c>
      <c r="S11">
        <f t="shared" si="0"/>
        <v>0</v>
      </c>
      <c r="V11">
        <v>4</v>
      </c>
      <c r="W11">
        <v>1</v>
      </c>
      <c r="X11">
        <v>4.2</v>
      </c>
      <c r="Y11">
        <v>0.15</v>
      </c>
      <c r="Z11">
        <v>633.75909435777157</v>
      </c>
      <c r="AA11">
        <v>2466.672365056078</v>
      </c>
      <c r="AB11">
        <v>2477.3040000000001</v>
      </c>
      <c r="AC11">
        <v>7.5510000000000002</v>
      </c>
      <c r="AI11">
        <v>2432.9054473934721</v>
      </c>
      <c r="AJ11">
        <v>2448.5638206641479</v>
      </c>
      <c r="AK11">
        <v>2441.9496894325089</v>
      </c>
    </row>
    <row r="12" spans="1:40" x14ac:dyDescent="0.3">
      <c r="B12" t="s">
        <v>51</v>
      </c>
      <c r="C12" s="2">
        <v>45916</v>
      </c>
      <c r="D12" t="s">
        <v>38</v>
      </c>
      <c r="E12">
        <v>11</v>
      </c>
      <c r="J12">
        <v>26</v>
      </c>
      <c r="K12">
        <v>160.55000000000001</v>
      </c>
      <c r="L12">
        <v>30</v>
      </c>
      <c r="M12">
        <v>0.10064399</v>
      </c>
      <c r="N12">
        <v>2300</v>
      </c>
      <c r="O12">
        <v>2253.3693768765329</v>
      </c>
      <c r="S12">
        <f t="shared" si="0"/>
        <v>0</v>
      </c>
      <c r="U12">
        <v>986</v>
      </c>
      <c r="V12">
        <v>4</v>
      </c>
      <c r="W12">
        <v>1</v>
      </c>
      <c r="X12">
        <v>4.2</v>
      </c>
      <c r="Y12">
        <v>0.15</v>
      </c>
      <c r="Z12">
        <v>633.96221621287759</v>
      </c>
      <c r="AA12">
        <v>2466.3513574824319</v>
      </c>
      <c r="AB12">
        <v>2477.3040000000001</v>
      </c>
      <c r="AC12">
        <v>7.5510000000000002</v>
      </c>
      <c r="AI12">
        <v>2432.0634450803209</v>
      </c>
      <c r="AJ12">
        <v>2447.7163651048841</v>
      </c>
      <c r="AK12">
        <v>2440.5133254925072</v>
      </c>
    </row>
    <row r="13" spans="1:40" x14ac:dyDescent="0.3">
      <c r="B13" t="s">
        <v>52</v>
      </c>
      <c r="C13" s="2">
        <v>45917</v>
      </c>
      <c r="D13" t="s">
        <v>38</v>
      </c>
      <c r="E13">
        <v>1</v>
      </c>
      <c r="J13">
        <v>24.8</v>
      </c>
      <c r="K13">
        <v>166.75</v>
      </c>
      <c r="L13">
        <v>30</v>
      </c>
      <c r="M13">
        <v>0.10064399</v>
      </c>
      <c r="N13">
        <v>2300</v>
      </c>
      <c r="O13">
        <v>2253.3693768765329</v>
      </c>
      <c r="S13">
        <f t="shared" si="0"/>
        <v>0</v>
      </c>
      <c r="V13">
        <v>4</v>
      </c>
      <c r="X13">
        <v>4.2</v>
      </c>
      <c r="Y13">
        <v>0.15</v>
      </c>
      <c r="Z13">
        <v>635.452693956644</v>
      </c>
      <c r="AA13">
        <v>2383.8788818364669</v>
      </c>
      <c r="AI13">
        <v>2355.0692628795859</v>
      </c>
      <c r="AJ13">
        <v>2370.2244541949199</v>
      </c>
      <c r="AK13">
        <v>2363.233002169603</v>
      </c>
    </row>
    <row r="14" spans="1:40" x14ac:dyDescent="0.3">
      <c r="B14" t="s">
        <v>53</v>
      </c>
      <c r="C14" s="2">
        <v>45917</v>
      </c>
      <c r="D14" t="s">
        <v>38</v>
      </c>
      <c r="E14">
        <v>2</v>
      </c>
      <c r="J14">
        <v>25</v>
      </c>
      <c r="K14">
        <v>168.65</v>
      </c>
      <c r="L14">
        <v>30</v>
      </c>
      <c r="M14">
        <v>0.10064399</v>
      </c>
      <c r="N14">
        <v>2300</v>
      </c>
      <c r="O14">
        <v>2253.3693768765329</v>
      </c>
      <c r="S14">
        <f t="shared" si="0"/>
        <v>0</v>
      </c>
      <c r="U14">
        <v>1001</v>
      </c>
      <c r="V14">
        <v>4</v>
      </c>
      <c r="W14">
        <v>1</v>
      </c>
      <c r="X14">
        <v>4.2</v>
      </c>
      <c r="Y14">
        <v>0.15</v>
      </c>
      <c r="Z14">
        <v>634.7138373613418</v>
      </c>
      <c r="AA14">
        <v>2393.4151643703208</v>
      </c>
      <c r="AB14">
        <v>2396.0309999999999</v>
      </c>
      <c r="AC14">
        <v>2.173</v>
      </c>
      <c r="AI14">
        <v>2364.1579811308102</v>
      </c>
      <c r="AJ14">
        <v>2379.3718517608108</v>
      </c>
      <c r="AK14">
        <v>2372.356178938976</v>
      </c>
    </row>
    <row r="15" spans="1:40" x14ac:dyDescent="0.3">
      <c r="B15" t="s">
        <v>54</v>
      </c>
      <c r="C15" s="2">
        <v>45917</v>
      </c>
      <c r="D15" t="s">
        <v>38</v>
      </c>
      <c r="E15">
        <v>3</v>
      </c>
      <c r="J15">
        <v>25.1</v>
      </c>
      <c r="K15">
        <v>168.05</v>
      </c>
      <c r="L15">
        <v>30</v>
      </c>
      <c r="M15">
        <v>0.10064399</v>
      </c>
      <c r="N15">
        <v>2300</v>
      </c>
      <c r="O15">
        <v>2253.3693768765329</v>
      </c>
      <c r="S15">
        <f t="shared" si="0"/>
        <v>0</v>
      </c>
      <c r="V15">
        <v>4</v>
      </c>
      <c r="W15">
        <v>1</v>
      </c>
      <c r="X15">
        <v>4.2</v>
      </c>
      <c r="Y15">
        <v>0.15</v>
      </c>
      <c r="Z15">
        <v>635.62153299262741</v>
      </c>
      <c r="AA15">
        <v>2393.4978326838141</v>
      </c>
      <c r="AB15">
        <v>2396.0309999999999</v>
      </c>
      <c r="AC15">
        <v>2.173</v>
      </c>
      <c r="AI15">
        <v>2364.215810688655</v>
      </c>
      <c r="AJ15">
        <v>2379.4300151600819</v>
      </c>
      <c r="AK15">
        <v>2372.415308754998</v>
      </c>
    </row>
    <row r="16" spans="1:40" x14ac:dyDescent="0.3">
      <c r="B16" t="s">
        <v>55</v>
      </c>
      <c r="C16" s="2">
        <v>45917</v>
      </c>
      <c r="D16" t="s">
        <v>38</v>
      </c>
      <c r="E16">
        <v>4</v>
      </c>
      <c r="J16">
        <v>25.2</v>
      </c>
      <c r="K16">
        <v>168.75</v>
      </c>
      <c r="L16">
        <v>30</v>
      </c>
      <c r="M16">
        <v>0.10064399</v>
      </c>
      <c r="N16">
        <v>2300</v>
      </c>
      <c r="O16">
        <v>2253.3693768765329</v>
      </c>
      <c r="S16">
        <f t="shared" si="0"/>
        <v>0</v>
      </c>
      <c r="U16">
        <v>1004</v>
      </c>
      <c r="V16">
        <v>4</v>
      </c>
      <c r="W16">
        <v>1</v>
      </c>
      <c r="X16">
        <v>4.2</v>
      </c>
      <c r="Y16">
        <v>0.15</v>
      </c>
      <c r="Z16">
        <v>635.04965301847744</v>
      </c>
      <c r="AA16">
        <v>2394.3204808109281</v>
      </c>
      <c r="AB16">
        <v>2396.0309999999999</v>
      </c>
      <c r="AC16">
        <v>2.173</v>
      </c>
      <c r="AI16">
        <v>2364.934710832481</v>
      </c>
      <c r="AJ16">
        <v>2380.1535633239728</v>
      </c>
      <c r="AK16">
        <v>2373.1379241001569</v>
      </c>
    </row>
    <row r="17" spans="2:40" x14ac:dyDescent="0.3">
      <c r="B17" t="s">
        <v>56</v>
      </c>
      <c r="C17" s="2">
        <v>45917</v>
      </c>
      <c r="D17" t="s">
        <v>38</v>
      </c>
      <c r="E17">
        <v>5</v>
      </c>
      <c r="J17">
        <v>25.2</v>
      </c>
      <c r="K17">
        <v>167.75</v>
      </c>
      <c r="L17">
        <v>30</v>
      </c>
      <c r="M17">
        <v>0.10064399</v>
      </c>
      <c r="N17">
        <v>2300</v>
      </c>
      <c r="O17">
        <v>2253.3693768765329</v>
      </c>
      <c r="S17">
        <f t="shared" si="0"/>
        <v>0</v>
      </c>
      <c r="U17">
        <v>985</v>
      </c>
      <c r="V17">
        <v>4</v>
      </c>
      <c r="W17">
        <v>1</v>
      </c>
      <c r="X17">
        <v>4.2</v>
      </c>
      <c r="Y17">
        <v>0.15</v>
      </c>
      <c r="Z17">
        <v>634.82179899079699</v>
      </c>
      <c r="AA17">
        <v>2394.9730838869041</v>
      </c>
      <c r="AB17">
        <v>2396.0309999999999</v>
      </c>
      <c r="AC17">
        <v>2.173</v>
      </c>
      <c r="AI17">
        <v>2365.5934903419538</v>
      </c>
      <c r="AJ17">
        <v>2380.8165593501139</v>
      </c>
      <c r="AK17">
        <v>2373.798943702247</v>
      </c>
    </row>
    <row r="18" spans="2:40" x14ac:dyDescent="0.3">
      <c r="B18" t="s">
        <v>57</v>
      </c>
      <c r="C18" s="2">
        <v>45917</v>
      </c>
      <c r="D18" t="s">
        <v>38</v>
      </c>
      <c r="E18">
        <v>6</v>
      </c>
      <c r="J18">
        <v>25.2</v>
      </c>
      <c r="K18">
        <v>167</v>
      </c>
      <c r="L18">
        <v>30</v>
      </c>
      <c r="M18">
        <v>0.10064399</v>
      </c>
      <c r="N18">
        <v>2300</v>
      </c>
      <c r="O18">
        <v>2253.3693768765329</v>
      </c>
      <c r="S18">
        <f t="shared" si="0"/>
        <v>0</v>
      </c>
      <c r="V18">
        <v>4</v>
      </c>
      <c r="W18">
        <v>1</v>
      </c>
      <c r="X18">
        <v>4.2</v>
      </c>
      <c r="Y18">
        <v>0.15</v>
      </c>
      <c r="Z18">
        <v>633.94658047749135</v>
      </c>
      <c r="AA18">
        <v>2397.6768176291189</v>
      </c>
      <c r="AB18">
        <v>2396.0309999999999</v>
      </c>
      <c r="AC18">
        <v>2.173</v>
      </c>
      <c r="AI18">
        <v>2368.3846100721312</v>
      </c>
      <c r="AJ18">
        <v>2383.6285352638888</v>
      </c>
      <c r="AK18">
        <v>2376.3333469226168</v>
      </c>
    </row>
    <row r="19" spans="2:40" x14ac:dyDescent="0.3">
      <c r="B19" t="s">
        <v>58</v>
      </c>
      <c r="C19" s="2">
        <v>45917</v>
      </c>
      <c r="D19" t="s">
        <v>38</v>
      </c>
      <c r="E19">
        <v>7</v>
      </c>
      <c r="J19">
        <v>25.2</v>
      </c>
      <c r="K19">
        <v>166.4</v>
      </c>
      <c r="L19">
        <v>30</v>
      </c>
      <c r="M19">
        <v>0.10064399</v>
      </c>
      <c r="N19">
        <v>2300</v>
      </c>
      <c r="O19">
        <v>2253.3693768765329</v>
      </c>
      <c r="S19">
        <f t="shared" si="0"/>
        <v>0</v>
      </c>
      <c r="U19">
        <v>943</v>
      </c>
      <c r="V19">
        <v>4</v>
      </c>
      <c r="W19">
        <v>1</v>
      </c>
      <c r="X19">
        <v>4.2</v>
      </c>
      <c r="Y19">
        <v>0.15</v>
      </c>
      <c r="Z19">
        <v>633.65443307033195</v>
      </c>
      <c r="AA19">
        <v>2396.8436985836001</v>
      </c>
      <c r="AB19">
        <v>2396.0309999999999</v>
      </c>
      <c r="AC19">
        <v>2.173</v>
      </c>
      <c r="AI19">
        <v>2367.3577996262761</v>
      </c>
      <c r="AJ19">
        <v>2382.5923024600338</v>
      </c>
      <c r="AK19">
        <v>2375.5695526848799</v>
      </c>
    </row>
    <row r="20" spans="2:40" x14ac:dyDescent="0.3">
      <c r="B20" t="s">
        <v>59</v>
      </c>
      <c r="C20" s="2">
        <v>45917</v>
      </c>
      <c r="D20" t="s">
        <v>38</v>
      </c>
      <c r="E20">
        <v>8</v>
      </c>
      <c r="J20">
        <v>25.2</v>
      </c>
      <c r="K20">
        <v>166.2</v>
      </c>
      <c r="L20">
        <v>30</v>
      </c>
      <c r="M20">
        <v>0.10064399</v>
      </c>
      <c r="N20">
        <v>2300</v>
      </c>
      <c r="O20">
        <v>2253.3693768765329</v>
      </c>
      <c r="S20">
        <f t="shared" si="0"/>
        <v>0</v>
      </c>
      <c r="U20">
        <v>945</v>
      </c>
      <c r="V20">
        <v>4</v>
      </c>
      <c r="W20">
        <v>1</v>
      </c>
      <c r="X20">
        <v>4.2</v>
      </c>
      <c r="Y20">
        <v>0.15</v>
      </c>
      <c r="Z20">
        <v>633.4327420520525</v>
      </c>
      <c r="AA20">
        <v>2396.6436271776411</v>
      </c>
      <c r="AB20">
        <v>2396.0309999999999</v>
      </c>
      <c r="AC20">
        <v>2.173</v>
      </c>
      <c r="AI20">
        <v>2367.1887949495822</v>
      </c>
      <c r="AJ20">
        <v>2382.4221753074848</v>
      </c>
      <c r="AK20">
        <v>2375.3998774324868</v>
      </c>
    </row>
    <row r="21" spans="2:40" x14ac:dyDescent="0.3">
      <c r="B21" t="s">
        <v>60</v>
      </c>
      <c r="C21" s="2">
        <v>45917</v>
      </c>
      <c r="D21" t="s">
        <v>38</v>
      </c>
      <c r="E21">
        <v>9</v>
      </c>
      <c r="J21">
        <v>25.2</v>
      </c>
      <c r="K21">
        <v>165.85</v>
      </c>
      <c r="L21">
        <v>30</v>
      </c>
      <c r="M21">
        <v>0.10064399</v>
      </c>
      <c r="N21">
        <v>2300</v>
      </c>
      <c r="O21">
        <v>2253.3693768765329</v>
      </c>
      <c r="S21">
        <f t="shared" si="0"/>
        <v>0</v>
      </c>
      <c r="U21">
        <v>928</v>
      </c>
      <c r="V21">
        <v>4</v>
      </c>
      <c r="W21">
        <v>1</v>
      </c>
      <c r="X21">
        <v>4.2</v>
      </c>
      <c r="Y21">
        <v>0.15</v>
      </c>
      <c r="Z21">
        <v>633.19633641444398</v>
      </c>
      <c r="AA21">
        <v>2400.270289248982</v>
      </c>
      <c r="AB21">
        <v>2396.0309999999999</v>
      </c>
      <c r="AC21">
        <v>2.173</v>
      </c>
      <c r="AI21">
        <v>2370.622789044236</v>
      </c>
      <c r="AJ21">
        <v>2385.8784197662389</v>
      </c>
      <c r="AK21">
        <v>2378.846205468174</v>
      </c>
    </row>
    <row r="22" spans="2:40" x14ac:dyDescent="0.3">
      <c r="B22" t="s">
        <v>61</v>
      </c>
      <c r="C22" s="2">
        <v>45917</v>
      </c>
      <c r="D22" t="s">
        <v>38</v>
      </c>
      <c r="E22">
        <v>10</v>
      </c>
      <c r="I22" t="s">
        <v>40</v>
      </c>
      <c r="J22">
        <v>25.2</v>
      </c>
      <c r="K22">
        <v>165.85</v>
      </c>
      <c r="L22">
        <v>30</v>
      </c>
      <c r="M22">
        <v>0.10064399</v>
      </c>
      <c r="N22">
        <v>2300</v>
      </c>
      <c r="O22">
        <v>2253.3693768765329</v>
      </c>
      <c r="S22">
        <f t="shared" si="0"/>
        <v>0</v>
      </c>
      <c r="U22">
        <v>942</v>
      </c>
      <c r="V22">
        <v>4</v>
      </c>
      <c r="X22">
        <v>4.2</v>
      </c>
      <c r="Y22">
        <v>0.15</v>
      </c>
      <c r="Z22">
        <v>633.03870875402993</v>
      </c>
      <c r="AA22">
        <v>2395.8570141846931</v>
      </c>
      <c r="AI22">
        <v>2366.4401687078839</v>
      </c>
      <c r="AJ22">
        <v>2381.6687116768871</v>
      </c>
      <c r="AK22">
        <v>2374.648624971695</v>
      </c>
    </row>
    <row r="23" spans="2:40" x14ac:dyDescent="0.3">
      <c r="B23" t="s">
        <v>62</v>
      </c>
      <c r="C23" s="2">
        <v>45917</v>
      </c>
      <c r="D23" t="s">
        <v>38</v>
      </c>
      <c r="E23">
        <v>11</v>
      </c>
      <c r="J23">
        <v>25.2</v>
      </c>
      <c r="K23">
        <v>165.85</v>
      </c>
      <c r="L23">
        <v>30</v>
      </c>
      <c r="M23">
        <v>0.10064399</v>
      </c>
      <c r="N23">
        <v>2300</v>
      </c>
      <c r="O23">
        <v>2253.3693768765329</v>
      </c>
      <c r="S23">
        <f t="shared" si="0"/>
        <v>0</v>
      </c>
      <c r="U23">
        <v>912</v>
      </c>
      <c r="V23">
        <v>4</v>
      </c>
      <c r="W23">
        <v>1</v>
      </c>
      <c r="X23">
        <v>4.2</v>
      </c>
      <c r="Y23">
        <v>0.15</v>
      </c>
      <c r="Z23">
        <v>632.92076284099267</v>
      </c>
      <c r="AA23">
        <v>2395.0467719566618</v>
      </c>
      <c r="AB23">
        <v>2396.0309999999999</v>
      </c>
      <c r="AC23">
        <v>2.173</v>
      </c>
      <c r="AI23">
        <v>2365.6879201280358</v>
      </c>
      <c r="AJ23">
        <v>2380.9115864512019</v>
      </c>
      <c r="AK23">
        <v>2373.8937092282172</v>
      </c>
    </row>
    <row r="24" spans="2:40" x14ac:dyDescent="0.3">
      <c r="B24" t="s">
        <v>63</v>
      </c>
      <c r="C24" s="2">
        <v>45917</v>
      </c>
      <c r="D24" t="s">
        <v>38</v>
      </c>
      <c r="E24">
        <v>12</v>
      </c>
      <c r="J24">
        <v>25.2</v>
      </c>
      <c r="K24">
        <v>165.75</v>
      </c>
      <c r="L24">
        <v>30</v>
      </c>
      <c r="M24">
        <v>0.10064399</v>
      </c>
      <c r="N24">
        <v>2300</v>
      </c>
      <c r="O24">
        <v>2253.3693768765329</v>
      </c>
      <c r="S24">
        <f t="shared" si="0"/>
        <v>0</v>
      </c>
      <c r="V24">
        <v>4</v>
      </c>
      <c r="W24">
        <v>1</v>
      </c>
      <c r="X24">
        <v>4.2</v>
      </c>
      <c r="Y24">
        <v>0.15</v>
      </c>
      <c r="Z24">
        <v>632.78809606139214</v>
      </c>
      <c r="AA24">
        <v>2397.618640354794</v>
      </c>
      <c r="AB24">
        <v>2396.0309999999999</v>
      </c>
      <c r="AC24">
        <v>2.173</v>
      </c>
      <c r="AI24">
        <v>2368.083631046366</v>
      </c>
      <c r="AJ24">
        <v>2383.3228361831289</v>
      </c>
      <c r="AK24">
        <v>2376.2979764954739</v>
      </c>
    </row>
    <row r="25" spans="2:40" x14ac:dyDescent="0.3">
      <c r="B25" t="s">
        <v>64</v>
      </c>
      <c r="C25" s="2">
        <v>45918</v>
      </c>
      <c r="D25" t="s">
        <v>38</v>
      </c>
      <c r="E25">
        <v>1</v>
      </c>
      <c r="J25">
        <v>25.2</v>
      </c>
      <c r="K25">
        <v>169.95</v>
      </c>
      <c r="L25">
        <v>30</v>
      </c>
      <c r="M25">
        <v>0.10064399</v>
      </c>
      <c r="N25">
        <v>1794.6539499999999</v>
      </c>
      <c r="O25">
        <v>1758.2688056610909</v>
      </c>
      <c r="S25">
        <f t="shared" si="0"/>
        <v>0</v>
      </c>
      <c r="V25">
        <v>4</v>
      </c>
      <c r="X25">
        <v>4.2</v>
      </c>
      <c r="Y25">
        <v>0.15</v>
      </c>
      <c r="Z25">
        <v>630.42844108214535</v>
      </c>
      <c r="AA25">
        <v>2377.0736413014588</v>
      </c>
      <c r="AI25">
        <v>2362.0112947814332</v>
      </c>
      <c r="AJ25">
        <v>2377.0736413014588</v>
      </c>
      <c r="AK25">
        <v>2370.5182953644662</v>
      </c>
    </row>
    <row r="26" spans="2:40" x14ac:dyDescent="0.3">
      <c r="B26" t="s">
        <v>65</v>
      </c>
      <c r="C26" s="2">
        <v>45918</v>
      </c>
      <c r="D26" t="s">
        <v>38</v>
      </c>
      <c r="E26">
        <v>2</v>
      </c>
      <c r="J26">
        <v>25.2</v>
      </c>
      <c r="K26">
        <v>169.45</v>
      </c>
      <c r="L26">
        <v>30</v>
      </c>
      <c r="M26">
        <v>0.10064399</v>
      </c>
      <c r="N26">
        <v>1794.6539499999999</v>
      </c>
      <c r="O26">
        <v>1758.2688056610909</v>
      </c>
      <c r="S26">
        <f t="shared" si="0"/>
        <v>0</v>
      </c>
      <c r="V26">
        <v>4</v>
      </c>
      <c r="X26">
        <v>4.2</v>
      </c>
      <c r="Y26">
        <v>0.15</v>
      </c>
      <c r="Z26">
        <v>630.73382098285197</v>
      </c>
      <c r="AA26">
        <v>2347.5679401048419</v>
      </c>
      <c r="AI26">
        <v>2332.6844326423861</v>
      </c>
      <c r="AJ26">
        <v>2347.5679401048419</v>
      </c>
      <c r="AK26">
        <v>2341.062209156526</v>
      </c>
    </row>
    <row r="27" spans="2:40" x14ac:dyDescent="0.3">
      <c r="B27" t="s">
        <v>66</v>
      </c>
      <c r="C27" s="2">
        <v>45918</v>
      </c>
      <c r="D27" t="s">
        <v>38</v>
      </c>
      <c r="E27">
        <v>3</v>
      </c>
      <c r="J27">
        <v>25.2</v>
      </c>
      <c r="K27">
        <v>169</v>
      </c>
      <c r="L27">
        <v>30</v>
      </c>
      <c r="M27">
        <v>0.10064399</v>
      </c>
      <c r="N27">
        <v>1794.6539499999999</v>
      </c>
      <c r="O27">
        <v>1758.2688056610909</v>
      </c>
      <c r="S27">
        <f t="shared" si="0"/>
        <v>0</v>
      </c>
      <c r="V27">
        <v>4</v>
      </c>
      <c r="X27">
        <v>4.2</v>
      </c>
      <c r="Y27">
        <v>0.15</v>
      </c>
      <c r="Z27">
        <v>632.73385955370281</v>
      </c>
      <c r="AA27">
        <v>2362.7045610818641</v>
      </c>
      <c r="AI27">
        <v>2347.7286321366528</v>
      </c>
      <c r="AJ27">
        <v>2362.7045610818641</v>
      </c>
      <c r="AK27">
        <v>2356.1710470643602</v>
      </c>
    </row>
    <row r="28" spans="2:40" x14ac:dyDescent="0.3">
      <c r="B28" t="s">
        <v>67</v>
      </c>
      <c r="C28" s="2">
        <v>45930</v>
      </c>
      <c r="D28" t="s">
        <v>38</v>
      </c>
      <c r="E28">
        <v>2</v>
      </c>
      <c r="J28">
        <v>24.9</v>
      </c>
      <c r="K28">
        <v>170.25</v>
      </c>
      <c r="L28">
        <v>30</v>
      </c>
      <c r="M28">
        <v>0.10064399</v>
      </c>
      <c r="N28">
        <v>2318.7480999999998</v>
      </c>
      <c r="O28">
        <v>2271.737374448106</v>
      </c>
      <c r="S28">
        <f t="shared" si="0"/>
        <v>0</v>
      </c>
      <c r="V28">
        <v>4</v>
      </c>
      <c r="W28">
        <v>1</v>
      </c>
      <c r="X28">
        <v>4.2</v>
      </c>
      <c r="Y28">
        <v>0.15</v>
      </c>
      <c r="Z28">
        <v>631.24885373629547</v>
      </c>
      <c r="AA28">
        <v>2367.9564136698432</v>
      </c>
      <c r="AB28">
        <v>2369.502</v>
      </c>
      <c r="AC28">
        <v>1.593</v>
      </c>
      <c r="AI28">
        <v>2352.9858509214209</v>
      </c>
      <c r="AJ28">
        <v>2367.9564136698432</v>
      </c>
      <c r="AK28">
        <v>2361.534241226278</v>
      </c>
    </row>
    <row r="29" spans="2:40" x14ac:dyDescent="0.3">
      <c r="B29" t="s">
        <v>68</v>
      </c>
      <c r="C29" s="2">
        <v>45930</v>
      </c>
      <c r="D29" t="s">
        <v>38</v>
      </c>
      <c r="E29">
        <v>3</v>
      </c>
      <c r="G29">
        <v>14</v>
      </c>
      <c r="J29">
        <v>25</v>
      </c>
      <c r="K29">
        <v>170.15</v>
      </c>
      <c r="L29">
        <v>30</v>
      </c>
      <c r="M29">
        <v>0.10064399</v>
      </c>
      <c r="N29">
        <v>2318.7480999999998</v>
      </c>
      <c r="O29">
        <v>2271.737374448106</v>
      </c>
      <c r="P29">
        <v>1650.4814576741401</v>
      </c>
      <c r="Q29">
        <v>1728.4111633839241</v>
      </c>
      <c r="R29">
        <v>1730.039642733524</v>
      </c>
      <c r="S29">
        <f t="shared" si="0"/>
        <v>-1.6284793495999565</v>
      </c>
      <c r="T29">
        <v>0</v>
      </c>
      <c r="V29">
        <v>4</v>
      </c>
      <c r="X29">
        <v>4.2</v>
      </c>
      <c r="Y29">
        <v>0.15</v>
      </c>
      <c r="Z29">
        <v>631.35651983715536</v>
      </c>
      <c r="AA29">
        <v>2360.9157125710358</v>
      </c>
      <c r="AD29" t="s">
        <v>69</v>
      </c>
      <c r="AE29" t="s">
        <v>69</v>
      </c>
      <c r="AG29">
        <v>1682.7805000000001</v>
      </c>
      <c r="AH29">
        <v>1682.7805000000001</v>
      </c>
      <c r="AI29">
        <v>2345.987337756289</v>
      </c>
      <c r="AJ29">
        <v>2360.9157125710358</v>
      </c>
      <c r="AK29">
        <v>2354.50467084907</v>
      </c>
      <c r="AM29">
        <v>72.652828458003725</v>
      </c>
      <c r="AN29">
        <v>0.66189363496681375</v>
      </c>
    </row>
    <row r="30" spans="2:40" x14ac:dyDescent="0.3">
      <c r="B30" t="s">
        <v>70</v>
      </c>
      <c r="C30" s="2">
        <v>45930</v>
      </c>
      <c r="D30" t="s">
        <v>38</v>
      </c>
      <c r="E30">
        <v>4</v>
      </c>
      <c r="G30">
        <v>15</v>
      </c>
      <c r="J30">
        <v>25</v>
      </c>
      <c r="K30">
        <v>169.75</v>
      </c>
      <c r="L30">
        <v>30</v>
      </c>
      <c r="M30">
        <v>0.10064399</v>
      </c>
      <c r="N30">
        <v>2318.7480999999998</v>
      </c>
      <c r="O30">
        <v>2271.737374448106</v>
      </c>
      <c r="P30">
        <v>1867.2677651954241</v>
      </c>
      <c r="Q30">
        <v>1939.0750753074369</v>
      </c>
      <c r="R30">
        <v>1940.575616347631</v>
      </c>
      <c r="S30">
        <f t="shared" si="0"/>
        <v>-1.5005410401940935</v>
      </c>
      <c r="T30">
        <v>0</v>
      </c>
      <c r="V30">
        <v>4</v>
      </c>
      <c r="X30">
        <v>2.25</v>
      </c>
      <c r="Y30">
        <v>0.15</v>
      </c>
      <c r="AD30" t="s">
        <v>71</v>
      </c>
      <c r="AE30" t="s">
        <v>71</v>
      </c>
      <c r="AG30">
        <v>1903.8091999999999</v>
      </c>
      <c r="AH30">
        <v>1903.8091999999999</v>
      </c>
      <c r="AM30">
        <v>82.195582385444382</v>
      </c>
      <c r="AN30">
        <v>15.860475188414201</v>
      </c>
    </row>
    <row r="31" spans="2:40" x14ac:dyDescent="0.3">
      <c r="B31" t="s">
        <v>72</v>
      </c>
      <c r="C31" s="2">
        <v>45930</v>
      </c>
      <c r="D31" t="s">
        <v>38</v>
      </c>
      <c r="E31">
        <v>5</v>
      </c>
      <c r="G31">
        <v>16</v>
      </c>
      <c r="J31">
        <v>25</v>
      </c>
      <c r="K31">
        <v>169.15</v>
      </c>
      <c r="L31">
        <v>30</v>
      </c>
      <c r="M31">
        <v>0.10064399</v>
      </c>
      <c r="N31">
        <v>2318.7480999999998</v>
      </c>
      <c r="O31">
        <v>2271.737374448106</v>
      </c>
      <c r="P31">
        <v>2086.960593651359</v>
      </c>
      <c r="Q31">
        <v>2126.0408110840708</v>
      </c>
      <c r="R31">
        <v>2126.8574615062348</v>
      </c>
      <c r="S31">
        <f t="shared" si="0"/>
        <v>-0.81665042216400252</v>
      </c>
      <c r="T31">
        <v>0</v>
      </c>
      <c r="V31">
        <v>4</v>
      </c>
      <c r="X31">
        <v>1.2</v>
      </c>
      <c r="Y31">
        <v>0.15</v>
      </c>
      <c r="Z31">
        <v>457.25285718801422</v>
      </c>
      <c r="AA31">
        <v>294.44302156628862</v>
      </c>
      <c r="AD31" t="s">
        <v>73</v>
      </c>
      <c r="AE31" t="s">
        <v>73</v>
      </c>
      <c r="AG31">
        <v>2127.8013000000001</v>
      </c>
      <c r="AH31">
        <v>2127.8013000000001</v>
      </c>
      <c r="AI31">
        <v>292.79111388656918</v>
      </c>
      <c r="AJ31">
        <v>294.44302156628862</v>
      </c>
      <c r="AK31">
        <v>294.34340069952549</v>
      </c>
      <c r="AM31">
        <v>91.866278960100459</v>
      </c>
      <c r="AN31">
        <v>55.764238532207138</v>
      </c>
    </row>
    <row r="32" spans="2:40" x14ac:dyDescent="0.3">
      <c r="B32" t="s">
        <v>74</v>
      </c>
      <c r="C32" s="2">
        <v>45930</v>
      </c>
      <c r="D32" t="s">
        <v>38</v>
      </c>
      <c r="E32">
        <v>6</v>
      </c>
      <c r="G32">
        <v>17</v>
      </c>
      <c r="J32">
        <v>25.1</v>
      </c>
      <c r="K32">
        <v>167.7</v>
      </c>
      <c r="L32">
        <v>30</v>
      </c>
      <c r="M32">
        <v>0.10064399</v>
      </c>
      <c r="N32">
        <v>2318.7480999999998</v>
      </c>
      <c r="O32">
        <v>2271.737374448106</v>
      </c>
      <c r="P32">
        <v>1768.674938691129</v>
      </c>
      <c r="Q32">
        <v>1852.235109647253</v>
      </c>
      <c r="R32">
        <v>1853.9812475495039</v>
      </c>
      <c r="S32">
        <f t="shared" si="0"/>
        <v>-1.7461379022508936</v>
      </c>
      <c r="T32">
        <v>0</v>
      </c>
      <c r="V32">
        <v>4</v>
      </c>
      <c r="X32">
        <v>3.15</v>
      </c>
      <c r="Y32">
        <v>0.15</v>
      </c>
      <c r="Z32">
        <v>631.56950439296816</v>
      </c>
      <c r="AA32">
        <v>2368.678087527243</v>
      </c>
      <c r="AD32" t="s">
        <v>75</v>
      </c>
      <c r="AE32" t="s">
        <v>75</v>
      </c>
      <c r="AG32">
        <v>1803.2343000000001</v>
      </c>
      <c r="AH32">
        <v>1803.2343000000001</v>
      </c>
      <c r="AI32">
        <v>2353.7635536130861</v>
      </c>
      <c r="AJ32">
        <v>2368.678087527243</v>
      </c>
      <c r="AK32">
        <v>2362.4886516421552</v>
      </c>
      <c r="AM32">
        <v>77.855607720536327</v>
      </c>
      <c r="AN32">
        <v>0.66328720149572251</v>
      </c>
    </row>
    <row r="33" spans="2:40" x14ac:dyDescent="0.3">
      <c r="B33" t="s">
        <v>76</v>
      </c>
      <c r="C33" s="2">
        <v>45930</v>
      </c>
      <c r="D33" t="s">
        <v>38</v>
      </c>
      <c r="E33">
        <v>7</v>
      </c>
      <c r="G33">
        <v>18</v>
      </c>
      <c r="J33">
        <v>25.2</v>
      </c>
      <c r="K33">
        <v>167.25</v>
      </c>
      <c r="L33">
        <v>30</v>
      </c>
      <c r="M33">
        <v>0.10064399</v>
      </c>
      <c r="N33">
        <v>2318.7480999999998</v>
      </c>
      <c r="O33">
        <v>2271.737374448106</v>
      </c>
      <c r="P33">
        <v>1684.514500298744</v>
      </c>
      <c r="Q33">
        <v>1764.065435550898</v>
      </c>
      <c r="R33">
        <v>1765.727793365797</v>
      </c>
      <c r="S33">
        <f t="shared" si="0"/>
        <v>-1.6623578148989964</v>
      </c>
      <c r="T33">
        <v>0</v>
      </c>
      <c r="V33">
        <v>4</v>
      </c>
      <c r="X33">
        <v>3.6</v>
      </c>
      <c r="Y33">
        <v>0.15</v>
      </c>
      <c r="Z33">
        <v>631.60121222716054</v>
      </c>
      <c r="AA33">
        <v>2364.439517124506</v>
      </c>
      <c r="AD33" t="s">
        <v>77</v>
      </c>
      <c r="AE33" t="s">
        <v>77</v>
      </c>
      <c r="AG33">
        <v>1717.3791000000001</v>
      </c>
      <c r="AH33">
        <v>1717.3791000000001</v>
      </c>
      <c r="AI33">
        <v>2349.5007523993372</v>
      </c>
      <c r="AJ33">
        <v>2364.439517124506</v>
      </c>
      <c r="AK33">
        <v>2358.0717071432059</v>
      </c>
      <c r="AM33">
        <v>74.150934841575975</v>
      </c>
      <c r="AN33">
        <v>0.66231913735423364</v>
      </c>
    </row>
    <row r="34" spans="2:40" x14ac:dyDescent="0.3">
      <c r="B34" t="s">
        <v>78</v>
      </c>
      <c r="C34" s="2">
        <v>45930</v>
      </c>
      <c r="D34" t="s">
        <v>38</v>
      </c>
      <c r="E34">
        <v>8</v>
      </c>
      <c r="G34">
        <v>21</v>
      </c>
      <c r="J34">
        <v>25.2</v>
      </c>
      <c r="K34">
        <v>165.95</v>
      </c>
      <c r="L34">
        <v>30</v>
      </c>
      <c r="M34">
        <v>0.10064399</v>
      </c>
      <c r="N34">
        <v>2318.7480999999998</v>
      </c>
      <c r="O34">
        <v>2271.737374448106</v>
      </c>
      <c r="P34">
        <v>1566.6935672443669</v>
      </c>
      <c r="Q34">
        <v>1640.6311129712799</v>
      </c>
      <c r="R34">
        <v>1642.1761690609919</v>
      </c>
      <c r="S34">
        <f t="shared" si="0"/>
        <v>-1.545056089712034</v>
      </c>
      <c r="T34">
        <v>0</v>
      </c>
      <c r="V34">
        <v>4</v>
      </c>
      <c r="W34">
        <v>1</v>
      </c>
      <c r="X34">
        <v>4.8</v>
      </c>
      <c r="Y34">
        <v>0.15</v>
      </c>
      <c r="Z34">
        <v>631.53345446519234</v>
      </c>
      <c r="AA34">
        <v>2369.4114118278212</v>
      </c>
      <c r="AB34">
        <v>2369.502</v>
      </c>
      <c r="AC34">
        <v>1.593</v>
      </c>
      <c r="AD34" t="s">
        <v>79</v>
      </c>
      <c r="AE34" t="s">
        <v>79</v>
      </c>
      <c r="AG34">
        <v>1597.2594999999999</v>
      </c>
      <c r="AH34">
        <v>1597.2594999999999</v>
      </c>
      <c r="AI34">
        <v>2354.433074903664</v>
      </c>
      <c r="AJ34">
        <v>2369.4114118278212</v>
      </c>
      <c r="AK34">
        <v>2362.993200937</v>
      </c>
      <c r="AM34">
        <v>68.964554832178962</v>
      </c>
      <c r="AN34">
        <v>0.66155038835185764</v>
      </c>
    </row>
    <row r="35" spans="2:40" x14ac:dyDescent="0.3">
      <c r="B35" t="s">
        <v>80</v>
      </c>
      <c r="C35" s="2">
        <v>45930</v>
      </c>
      <c r="D35" t="s">
        <v>38</v>
      </c>
      <c r="E35">
        <v>9</v>
      </c>
      <c r="J35">
        <v>25.2</v>
      </c>
      <c r="K35">
        <v>164.95</v>
      </c>
      <c r="L35">
        <v>30</v>
      </c>
      <c r="M35">
        <v>0.10064399</v>
      </c>
      <c r="N35">
        <v>2318.7480999999998</v>
      </c>
      <c r="O35">
        <v>2271.737374448106</v>
      </c>
      <c r="S35">
        <f t="shared" si="0"/>
        <v>0</v>
      </c>
      <c r="V35">
        <v>4</v>
      </c>
      <c r="W35">
        <v>1</v>
      </c>
      <c r="X35">
        <v>4.2</v>
      </c>
      <c r="Y35">
        <v>0.15</v>
      </c>
      <c r="Z35">
        <v>631.58442288257083</v>
      </c>
      <c r="AA35">
        <v>2371.1381033386078</v>
      </c>
      <c r="AB35">
        <v>2369.502</v>
      </c>
      <c r="AC35">
        <v>1.593</v>
      </c>
      <c r="AI35">
        <v>2356.1493735594222</v>
      </c>
      <c r="AJ35">
        <v>2371.1381033386078</v>
      </c>
      <c r="AK35">
        <v>2364.7170991181861</v>
      </c>
    </row>
    <row r="36" spans="2:40" x14ac:dyDescent="0.3">
      <c r="B36" t="s">
        <v>81</v>
      </c>
      <c r="C36" s="2">
        <v>45931</v>
      </c>
      <c r="D36" t="s">
        <v>38</v>
      </c>
      <c r="E36">
        <v>1</v>
      </c>
      <c r="G36">
        <v>24</v>
      </c>
      <c r="J36">
        <v>24.7</v>
      </c>
      <c r="K36">
        <v>164.8</v>
      </c>
      <c r="L36">
        <v>30</v>
      </c>
      <c r="M36">
        <v>0.10064399</v>
      </c>
      <c r="N36">
        <v>2291.3800500000002</v>
      </c>
      <c r="O36">
        <v>2244.924189328618</v>
      </c>
      <c r="P36">
        <v>1626.0041952186909</v>
      </c>
      <c r="Q36">
        <v>1702.772989296077</v>
      </c>
      <c r="R36">
        <v>1704.3772093391281</v>
      </c>
      <c r="S36">
        <f t="shared" si="0"/>
        <v>-1.6042200430511002</v>
      </c>
      <c r="T36">
        <v>0</v>
      </c>
      <c r="U36">
        <v>821</v>
      </c>
      <c r="V36">
        <v>4</v>
      </c>
      <c r="W36">
        <v>1</v>
      </c>
      <c r="X36">
        <v>4.2</v>
      </c>
      <c r="Y36">
        <v>0.15</v>
      </c>
      <c r="Z36">
        <v>631.12044783437887</v>
      </c>
      <c r="AA36">
        <v>2368.2830845531071</v>
      </c>
      <c r="AB36">
        <v>2380.2280000000001</v>
      </c>
      <c r="AC36">
        <v>10.396000000000001</v>
      </c>
      <c r="AD36" t="s">
        <v>82</v>
      </c>
      <c r="AE36" t="s">
        <v>82</v>
      </c>
      <c r="AG36">
        <v>1657.9686999999999</v>
      </c>
      <c r="AH36">
        <v>1657.9686999999999</v>
      </c>
      <c r="AI36">
        <v>2353.3076249569108</v>
      </c>
      <c r="AJ36">
        <v>2368.2830845531071</v>
      </c>
      <c r="AK36">
        <v>2361.8485164663971</v>
      </c>
      <c r="AM36">
        <v>72.43024966936521</v>
      </c>
      <c r="AN36">
        <v>0.6647126656483181</v>
      </c>
    </row>
    <row r="37" spans="2:40" x14ac:dyDescent="0.3">
      <c r="B37" t="s">
        <v>83</v>
      </c>
      <c r="C37" s="2">
        <v>45931</v>
      </c>
      <c r="D37" t="s">
        <v>38</v>
      </c>
      <c r="E37">
        <v>2</v>
      </c>
      <c r="G37">
        <v>25</v>
      </c>
      <c r="J37">
        <v>25</v>
      </c>
      <c r="K37">
        <v>162.69999999999999</v>
      </c>
      <c r="L37">
        <v>30</v>
      </c>
      <c r="M37">
        <v>0.10064399</v>
      </c>
      <c r="N37">
        <v>2291.3800500000002</v>
      </c>
      <c r="O37">
        <v>2244.924189328618</v>
      </c>
      <c r="P37">
        <v>1887.7676925448279</v>
      </c>
      <c r="Q37">
        <v>1972.4841360953819</v>
      </c>
      <c r="R37">
        <v>1974.2544363632601</v>
      </c>
      <c r="S37">
        <f t="shared" si="0"/>
        <v>-1.7703002678781559</v>
      </c>
      <c r="T37">
        <v>0</v>
      </c>
      <c r="U37">
        <v>555</v>
      </c>
      <c r="V37">
        <v>4</v>
      </c>
      <c r="X37">
        <v>2.25</v>
      </c>
      <c r="Y37">
        <v>0.15</v>
      </c>
      <c r="Z37">
        <v>520.9427156744041</v>
      </c>
      <c r="AA37">
        <v>1482.164534938373</v>
      </c>
      <c r="AD37" t="s">
        <v>84</v>
      </c>
      <c r="AE37" t="s">
        <v>84</v>
      </c>
      <c r="AG37">
        <v>1924.7103</v>
      </c>
      <c r="AH37">
        <v>1924.7103</v>
      </c>
      <c r="AI37">
        <v>1472.9915142718189</v>
      </c>
      <c r="AJ37">
        <v>1482.164534938373</v>
      </c>
      <c r="AK37">
        <v>1478.8269592860879</v>
      </c>
      <c r="AM37">
        <v>84.090487399015302</v>
      </c>
      <c r="AN37">
        <v>4.8952735426921246</v>
      </c>
    </row>
    <row r="38" spans="2:40" x14ac:dyDescent="0.3">
      <c r="B38" t="s">
        <v>85</v>
      </c>
      <c r="C38" s="2">
        <v>45931</v>
      </c>
      <c r="D38" t="s">
        <v>38</v>
      </c>
      <c r="E38">
        <v>3</v>
      </c>
      <c r="G38">
        <v>26</v>
      </c>
      <c r="J38">
        <v>25</v>
      </c>
      <c r="K38">
        <v>162.05000000000001</v>
      </c>
      <c r="L38">
        <v>30</v>
      </c>
      <c r="M38">
        <v>0.10064399</v>
      </c>
      <c r="N38">
        <v>2291.3800500000002</v>
      </c>
      <c r="O38">
        <v>2244.924189328618</v>
      </c>
      <c r="P38">
        <v>2073.6655701738082</v>
      </c>
      <c r="Q38">
        <v>2118.847393016958</v>
      </c>
      <c r="R38">
        <v>2119.7915473007092</v>
      </c>
      <c r="S38">
        <f t="shared" si="0"/>
        <v>-0.94415428375123156</v>
      </c>
      <c r="T38">
        <v>0</v>
      </c>
      <c r="V38">
        <v>4</v>
      </c>
      <c r="X38">
        <v>1.2</v>
      </c>
      <c r="Y38">
        <v>0.15</v>
      </c>
      <c r="Z38">
        <v>456.98752120589268</v>
      </c>
      <c r="AA38">
        <v>317.45477858712411</v>
      </c>
      <c r="AD38" t="s">
        <v>86</v>
      </c>
      <c r="AE38" t="s">
        <v>86</v>
      </c>
      <c r="AG38">
        <v>2114.2460999999998</v>
      </c>
      <c r="AH38">
        <v>2114.2460999999998</v>
      </c>
      <c r="AI38">
        <v>315.67233038588842</v>
      </c>
      <c r="AJ38">
        <v>317.45477858712411</v>
      </c>
      <c r="AK38">
        <v>317.34422505200428</v>
      </c>
      <c r="AM38">
        <v>92.371296101271568</v>
      </c>
      <c r="AN38">
        <v>50.134110821574232</v>
      </c>
    </row>
    <row r="39" spans="2:40" x14ac:dyDescent="0.3">
      <c r="B39" t="s">
        <v>87</v>
      </c>
      <c r="C39" s="2">
        <v>45931</v>
      </c>
      <c r="D39" t="s">
        <v>38</v>
      </c>
      <c r="E39">
        <v>4</v>
      </c>
      <c r="G39">
        <v>27</v>
      </c>
      <c r="J39">
        <v>25.2</v>
      </c>
      <c r="K39">
        <v>160.94999999999999</v>
      </c>
      <c r="L39">
        <v>30</v>
      </c>
      <c r="M39">
        <v>0.10064399</v>
      </c>
      <c r="N39">
        <v>2291.3800500000002</v>
      </c>
      <c r="O39">
        <v>2244.924189328618</v>
      </c>
      <c r="P39">
        <v>2022.103396683485</v>
      </c>
      <c r="Q39">
        <v>2078.7387755524251</v>
      </c>
      <c r="R39">
        <v>2079.9311030951558</v>
      </c>
      <c r="S39">
        <f t="shared" si="0"/>
        <v>-1.192327542730709</v>
      </c>
      <c r="T39">
        <v>0.5</v>
      </c>
      <c r="V39">
        <v>4</v>
      </c>
      <c r="X39">
        <v>1.2</v>
      </c>
      <c r="Y39">
        <v>0.15</v>
      </c>
      <c r="Z39">
        <v>457.07256993749792</v>
      </c>
      <c r="AA39">
        <v>322.94620776372477</v>
      </c>
      <c r="AD39" t="s">
        <v>88</v>
      </c>
      <c r="AE39" t="s">
        <v>88</v>
      </c>
      <c r="AG39">
        <v>2061.5542999999998</v>
      </c>
      <c r="AH39">
        <v>2061.5542999999998</v>
      </c>
      <c r="AI39">
        <v>321.13336369168888</v>
      </c>
      <c r="AJ39">
        <v>322.94620776372477</v>
      </c>
      <c r="AK39">
        <v>322.83591543752328</v>
      </c>
      <c r="AM39">
        <v>90.074462482772248</v>
      </c>
      <c r="AN39">
        <v>50.134110821574232</v>
      </c>
    </row>
    <row r="40" spans="2:40" x14ac:dyDescent="0.3">
      <c r="B40" t="s">
        <v>89</v>
      </c>
      <c r="C40" s="2">
        <v>45931</v>
      </c>
      <c r="D40" t="s">
        <v>38</v>
      </c>
      <c r="E40">
        <v>5</v>
      </c>
      <c r="G40">
        <v>28</v>
      </c>
      <c r="J40">
        <v>25.2</v>
      </c>
      <c r="K40">
        <v>160.65</v>
      </c>
      <c r="L40">
        <v>30</v>
      </c>
      <c r="M40">
        <v>0.10064399</v>
      </c>
      <c r="N40">
        <v>2291.3800500000002</v>
      </c>
      <c r="O40">
        <v>2244.924189328618</v>
      </c>
      <c r="P40">
        <v>2071.4397525288991</v>
      </c>
      <c r="Q40">
        <v>2116.5155141367659</v>
      </c>
      <c r="R40">
        <v>2117.457452082986</v>
      </c>
      <c r="S40">
        <f t="shared" si="0"/>
        <v>-0.94193794622015048</v>
      </c>
      <c r="T40">
        <v>0</v>
      </c>
      <c r="V40">
        <v>4</v>
      </c>
      <c r="X40">
        <v>1.2</v>
      </c>
      <c r="Y40">
        <v>0.15</v>
      </c>
      <c r="Z40">
        <v>457.07784561200549</v>
      </c>
      <c r="AA40">
        <v>323.37341630332833</v>
      </c>
      <c r="AD40" t="s">
        <v>90</v>
      </c>
      <c r="AE40" t="s">
        <v>90</v>
      </c>
      <c r="AG40">
        <v>2111.8532</v>
      </c>
      <c r="AH40">
        <v>2111.8532</v>
      </c>
      <c r="AI40">
        <v>321.55996624395169</v>
      </c>
      <c r="AJ40">
        <v>323.37341630332833</v>
      </c>
      <c r="AK40">
        <v>323.26900146934793</v>
      </c>
      <c r="AM40">
        <v>92.272147201032993</v>
      </c>
      <c r="AN40">
        <v>50.134110821574232</v>
      </c>
    </row>
    <row r="41" spans="2:40" x14ac:dyDescent="0.3">
      <c r="B41" t="s">
        <v>91</v>
      </c>
      <c r="C41" s="2">
        <v>45931</v>
      </c>
      <c r="D41" t="s">
        <v>38</v>
      </c>
      <c r="E41">
        <v>7</v>
      </c>
      <c r="G41">
        <v>29</v>
      </c>
      <c r="J41">
        <v>25.2</v>
      </c>
      <c r="K41">
        <v>160.05000000000001</v>
      </c>
      <c r="L41">
        <v>30</v>
      </c>
      <c r="M41">
        <v>0.10064399</v>
      </c>
      <c r="N41">
        <v>2291.3800500000002</v>
      </c>
      <c r="O41">
        <v>2244.924189328618</v>
      </c>
      <c r="P41">
        <v>1906.5536530976669</v>
      </c>
      <c r="Q41">
        <v>1992.1652563154039</v>
      </c>
      <c r="R41">
        <v>1993.9542625314079</v>
      </c>
      <c r="S41">
        <f t="shared" si="0"/>
        <v>-1.7890062160040543</v>
      </c>
      <c r="T41">
        <v>0</v>
      </c>
      <c r="U41">
        <v>539</v>
      </c>
      <c r="V41">
        <v>4</v>
      </c>
      <c r="X41">
        <v>2.25</v>
      </c>
      <c r="Y41">
        <v>0.15</v>
      </c>
      <c r="Z41">
        <v>516.31028242182958</v>
      </c>
      <c r="AA41">
        <v>1389.285302167159</v>
      </c>
      <c r="AD41" t="s">
        <v>92</v>
      </c>
      <c r="AE41" t="s">
        <v>92</v>
      </c>
      <c r="AG41">
        <v>1943.7501999999999</v>
      </c>
      <c r="AH41">
        <v>1943.7501999999999</v>
      </c>
      <c r="AI41">
        <v>1380.7132568571819</v>
      </c>
      <c r="AJ41">
        <v>1389.285302167159</v>
      </c>
      <c r="AK41">
        <v>1386.241747884714</v>
      </c>
      <c r="AM41">
        <v>84.927306773234676</v>
      </c>
      <c r="AN41">
        <v>4.8952735426921246</v>
      </c>
    </row>
    <row r="42" spans="2:40" x14ac:dyDescent="0.3">
      <c r="B42" t="s">
        <v>93</v>
      </c>
      <c r="C42" s="2">
        <v>45931</v>
      </c>
      <c r="D42" t="s">
        <v>38</v>
      </c>
      <c r="E42">
        <v>8</v>
      </c>
      <c r="G42">
        <v>30</v>
      </c>
      <c r="J42">
        <v>25.21</v>
      </c>
      <c r="K42">
        <v>159.65</v>
      </c>
      <c r="L42">
        <v>30</v>
      </c>
      <c r="M42">
        <v>0.10064399</v>
      </c>
      <c r="N42">
        <v>2291.3800500000002</v>
      </c>
      <c r="O42">
        <v>2244.924189328618</v>
      </c>
      <c r="P42">
        <v>1897.699863135228</v>
      </c>
      <c r="Q42">
        <v>1982.8895791860141</v>
      </c>
      <c r="R42">
        <v>1984.6697693217709</v>
      </c>
      <c r="S42">
        <f t="shared" si="0"/>
        <v>-1.7801901357568113</v>
      </c>
      <c r="T42">
        <v>0</v>
      </c>
      <c r="U42">
        <v>548</v>
      </c>
      <c r="V42">
        <v>4</v>
      </c>
      <c r="X42">
        <v>2.25</v>
      </c>
      <c r="Y42">
        <v>0.15</v>
      </c>
      <c r="Z42">
        <v>515.90138983630891</v>
      </c>
      <c r="AA42">
        <v>1386.6353406665739</v>
      </c>
      <c r="AD42" t="s">
        <v>94</v>
      </c>
      <c r="AE42" t="s">
        <v>94</v>
      </c>
      <c r="AG42">
        <v>1934.7180000000001</v>
      </c>
      <c r="AH42">
        <v>1934.7180000000001</v>
      </c>
      <c r="AI42">
        <v>1378.077956631181</v>
      </c>
      <c r="AJ42">
        <v>1386.6353406665739</v>
      </c>
      <c r="AK42">
        <v>1383.5918150309019</v>
      </c>
      <c r="AM42">
        <v>84.532915283111038</v>
      </c>
      <c r="AN42">
        <v>4.8952735426921246</v>
      </c>
    </row>
    <row r="43" spans="2:40" x14ac:dyDescent="0.3">
      <c r="B43" t="s">
        <v>95</v>
      </c>
      <c r="C43" s="2">
        <v>45931</v>
      </c>
      <c r="D43" t="s">
        <v>38</v>
      </c>
      <c r="E43">
        <v>9</v>
      </c>
      <c r="G43">
        <v>31</v>
      </c>
      <c r="J43">
        <v>25</v>
      </c>
      <c r="K43">
        <v>159.35</v>
      </c>
      <c r="L43">
        <v>30</v>
      </c>
      <c r="M43">
        <v>0.10064399</v>
      </c>
      <c r="N43">
        <v>2291.3800500000002</v>
      </c>
      <c r="O43">
        <v>2244.924189328618</v>
      </c>
      <c r="P43">
        <v>1892.8755347947681</v>
      </c>
      <c r="Q43">
        <v>1977.83536937958</v>
      </c>
      <c r="R43">
        <v>1979.6107557345861</v>
      </c>
      <c r="S43">
        <f t="shared" si="0"/>
        <v>-1.7753863550060487</v>
      </c>
      <c r="T43">
        <v>0</v>
      </c>
      <c r="U43">
        <v>561</v>
      </c>
      <c r="V43">
        <v>4</v>
      </c>
      <c r="X43">
        <v>2.25</v>
      </c>
      <c r="Y43">
        <v>0.15</v>
      </c>
      <c r="Z43">
        <v>515.39736951113673</v>
      </c>
      <c r="AA43">
        <v>1383.8374144087741</v>
      </c>
      <c r="AD43" t="s">
        <v>96</v>
      </c>
      <c r="AE43" t="s">
        <v>96</v>
      </c>
      <c r="AG43">
        <v>1929.9181000000001</v>
      </c>
      <c r="AH43">
        <v>1929.9181000000001</v>
      </c>
      <c r="AI43">
        <v>1375.294291025577</v>
      </c>
      <c r="AJ43">
        <v>1383.8374144087741</v>
      </c>
      <c r="AK43">
        <v>1380.788525788088</v>
      </c>
      <c r="AM43">
        <v>84.31801589526566</v>
      </c>
      <c r="AN43">
        <v>4.8952735426921246</v>
      </c>
    </row>
    <row r="44" spans="2:40" x14ac:dyDescent="0.3">
      <c r="B44" t="s">
        <v>97</v>
      </c>
      <c r="C44" s="2">
        <v>45931</v>
      </c>
      <c r="D44" t="s">
        <v>38</v>
      </c>
      <c r="E44">
        <v>10</v>
      </c>
      <c r="G44">
        <v>32</v>
      </c>
      <c r="J44">
        <v>25</v>
      </c>
      <c r="K44">
        <v>159.25</v>
      </c>
      <c r="L44">
        <v>30</v>
      </c>
      <c r="M44">
        <v>0.10064399</v>
      </c>
      <c r="N44">
        <v>2291.3800500000002</v>
      </c>
      <c r="O44">
        <v>2244.924189328618</v>
      </c>
      <c r="P44">
        <v>1761.999410777345</v>
      </c>
      <c r="Q44">
        <v>1845.2477594969309</v>
      </c>
      <c r="R44">
        <v>1846.987381320771</v>
      </c>
      <c r="S44">
        <f t="shared" si="0"/>
        <v>-1.7396218238400252</v>
      </c>
      <c r="T44">
        <v>0</v>
      </c>
      <c r="U44">
        <v>697</v>
      </c>
      <c r="V44">
        <v>4</v>
      </c>
      <c r="X44">
        <v>3.15</v>
      </c>
      <c r="Y44">
        <v>0.15</v>
      </c>
      <c r="Z44">
        <v>631.69593210501444</v>
      </c>
      <c r="AA44">
        <v>2386.519760926702</v>
      </c>
      <c r="AD44" t="s">
        <v>98</v>
      </c>
      <c r="AE44" t="s">
        <v>98</v>
      </c>
      <c r="AG44">
        <v>1796.4808</v>
      </c>
      <c r="AH44">
        <v>1796.4808</v>
      </c>
      <c r="AI44">
        <v>2371.5026247562491</v>
      </c>
      <c r="AJ44">
        <v>2386.519760926702</v>
      </c>
      <c r="AK44">
        <v>2380.3157499316621</v>
      </c>
      <c r="AM44">
        <v>78.488147579910049</v>
      </c>
      <c r="AN44">
        <v>0.66534832489714735</v>
      </c>
    </row>
    <row r="45" spans="2:40" x14ac:dyDescent="0.3">
      <c r="B45" t="s">
        <v>99</v>
      </c>
      <c r="C45" s="2">
        <v>45931</v>
      </c>
      <c r="D45" t="s">
        <v>38</v>
      </c>
      <c r="E45">
        <v>11</v>
      </c>
      <c r="G45">
        <v>33</v>
      </c>
      <c r="J45">
        <v>25.1</v>
      </c>
      <c r="K45">
        <v>159.05000000000001</v>
      </c>
      <c r="L45">
        <v>30</v>
      </c>
      <c r="M45">
        <v>0.10064399</v>
      </c>
      <c r="N45">
        <v>2291.3800500000002</v>
      </c>
      <c r="O45">
        <v>2244.924189328618</v>
      </c>
      <c r="P45">
        <v>1776.503863913513</v>
      </c>
      <c r="Q45">
        <v>1860.4433565011759</v>
      </c>
      <c r="R45">
        <v>1862.197421001355</v>
      </c>
      <c r="S45">
        <f t="shared" si="0"/>
        <v>-1.7540645001790836</v>
      </c>
      <c r="T45">
        <v>0</v>
      </c>
      <c r="U45">
        <v>690</v>
      </c>
      <c r="V45">
        <v>4</v>
      </c>
      <c r="X45">
        <v>3.15</v>
      </c>
      <c r="Y45">
        <v>0.15</v>
      </c>
      <c r="Z45">
        <v>631.65239305707848</v>
      </c>
      <c r="AA45">
        <v>2385.226165379117</v>
      </c>
      <c r="AD45" t="s">
        <v>100</v>
      </c>
      <c r="AE45" t="s">
        <v>100</v>
      </c>
      <c r="AG45">
        <v>1811.2162000000001</v>
      </c>
      <c r="AH45">
        <v>1811.2162000000001</v>
      </c>
      <c r="AI45">
        <v>2370.2168385265099</v>
      </c>
      <c r="AJ45">
        <v>2385.226165379117</v>
      </c>
      <c r="AK45">
        <v>2379.0254326023291</v>
      </c>
      <c r="AM45">
        <v>79.134247488544631</v>
      </c>
      <c r="AN45">
        <v>0.66534832489714735</v>
      </c>
    </row>
    <row r="46" spans="2:40" x14ac:dyDescent="0.3">
      <c r="B46" t="s">
        <v>101</v>
      </c>
      <c r="C46" s="2">
        <v>45931</v>
      </c>
      <c r="D46" t="s">
        <v>38</v>
      </c>
      <c r="E46">
        <v>12</v>
      </c>
      <c r="G46">
        <v>34</v>
      </c>
      <c r="J46">
        <v>24.8</v>
      </c>
      <c r="K46">
        <v>158.80000000000001</v>
      </c>
      <c r="L46">
        <v>30</v>
      </c>
      <c r="M46">
        <v>0.10064399</v>
      </c>
      <c r="N46">
        <v>2291.3800500000002</v>
      </c>
      <c r="O46">
        <v>2244.924189328618</v>
      </c>
      <c r="P46">
        <v>1655.9529638285719</v>
      </c>
      <c r="Q46">
        <v>1734.1488305150981</v>
      </c>
      <c r="R46">
        <v>1735.78287177014</v>
      </c>
      <c r="S46">
        <f t="shared" si="0"/>
        <v>-1.6340412550418932</v>
      </c>
      <c r="T46">
        <v>0</v>
      </c>
      <c r="U46">
        <v>803</v>
      </c>
      <c r="V46">
        <v>4</v>
      </c>
      <c r="W46">
        <v>1</v>
      </c>
      <c r="X46">
        <v>4.2</v>
      </c>
      <c r="Y46">
        <v>0.15</v>
      </c>
      <c r="Z46">
        <v>631.40621480863979</v>
      </c>
      <c r="AA46">
        <v>2385.1737667697439</v>
      </c>
      <c r="AB46">
        <v>2380.2280000000001</v>
      </c>
      <c r="AC46">
        <v>10.396000000000001</v>
      </c>
      <c r="AD46" t="s">
        <v>102</v>
      </c>
      <c r="AE46" t="s">
        <v>102</v>
      </c>
      <c r="AG46">
        <v>1688.4573</v>
      </c>
      <c r="AH46">
        <v>1688.4573</v>
      </c>
      <c r="AI46">
        <v>2370.0990000229349</v>
      </c>
      <c r="AJ46">
        <v>2385.1737667697439</v>
      </c>
      <c r="AK46">
        <v>2378.722195671779</v>
      </c>
      <c r="AM46">
        <v>73.764315592492778</v>
      </c>
      <c r="AN46">
        <v>0.6647126656483181</v>
      </c>
    </row>
    <row r="47" spans="2:40" x14ac:dyDescent="0.3">
      <c r="B47" t="s">
        <v>103</v>
      </c>
      <c r="C47" s="2">
        <v>45931</v>
      </c>
      <c r="D47" t="s">
        <v>38</v>
      </c>
      <c r="E47">
        <v>13</v>
      </c>
      <c r="G47">
        <v>35</v>
      </c>
      <c r="J47">
        <v>25</v>
      </c>
      <c r="K47">
        <v>158.65</v>
      </c>
      <c r="L47">
        <v>30</v>
      </c>
      <c r="M47">
        <v>0.10064399</v>
      </c>
      <c r="N47">
        <v>2291.3800500000002</v>
      </c>
      <c r="O47">
        <v>2244.924189328618</v>
      </c>
      <c r="P47">
        <v>1668.6995395236229</v>
      </c>
      <c r="Q47">
        <v>1747.5027864090371</v>
      </c>
      <c r="R47">
        <v>1749.14951995006</v>
      </c>
      <c r="S47">
        <f t="shared" si="0"/>
        <v>-1.646733541022968</v>
      </c>
      <c r="T47">
        <v>0</v>
      </c>
      <c r="V47">
        <v>4</v>
      </c>
      <c r="W47">
        <v>1</v>
      </c>
      <c r="X47">
        <v>4.2</v>
      </c>
      <c r="Y47">
        <v>0.15</v>
      </c>
      <c r="Z47">
        <v>631.57219023720495</v>
      </c>
      <c r="AA47">
        <v>2387.2284407250299</v>
      </c>
      <c r="AB47">
        <v>2380.2280000000001</v>
      </c>
      <c r="AC47">
        <v>10.396000000000001</v>
      </c>
      <c r="AD47" t="s">
        <v>104</v>
      </c>
      <c r="AE47" t="s">
        <v>104</v>
      </c>
      <c r="AG47">
        <v>1701.3551</v>
      </c>
      <c r="AH47">
        <v>1701.3551</v>
      </c>
      <c r="AI47">
        <v>2372.1420727203858</v>
      </c>
      <c r="AJ47">
        <v>2387.2284407250299</v>
      </c>
      <c r="AK47">
        <v>2380.7781283202462</v>
      </c>
      <c r="AM47">
        <v>74.332110966414206</v>
      </c>
      <c r="AN47">
        <v>0.6647126656483181</v>
      </c>
    </row>
    <row r="48" spans="2:40" x14ac:dyDescent="0.3">
      <c r="B48" t="s">
        <v>105</v>
      </c>
      <c r="C48" s="2">
        <v>45933</v>
      </c>
      <c r="D48" t="s">
        <v>38</v>
      </c>
      <c r="E48">
        <v>1</v>
      </c>
      <c r="G48">
        <v>37</v>
      </c>
      <c r="J48">
        <v>24</v>
      </c>
      <c r="K48">
        <v>170.95</v>
      </c>
      <c r="L48">
        <v>30</v>
      </c>
      <c r="M48">
        <v>0.10064399</v>
      </c>
      <c r="N48">
        <v>2313.2669299999998</v>
      </c>
      <c r="O48">
        <v>2266.36733069704</v>
      </c>
      <c r="P48">
        <v>1580.984097649683</v>
      </c>
      <c r="S48">
        <f t="shared" si="0"/>
        <v>0</v>
      </c>
      <c r="U48">
        <v>785</v>
      </c>
      <c r="V48">
        <v>4</v>
      </c>
      <c r="X48">
        <v>4.2</v>
      </c>
      <c r="Y48">
        <v>0.15</v>
      </c>
      <c r="Z48">
        <v>632.4345723611242</v>
      </c>
      <c r="AA48">
        <v>2157.3652705405339</v>
      </c>
      <c r="AD48" t="s">
        <v>106</v>
      </c>
      <c r="AE48" t="s">
        <v>106</v>
      </c>
      <c r="AG48">
        <v>1612.3869</v>
      </c>
      <c r="AH48">
        <v>1612.3869</v>
      </c>
      <c r="AI48">
        <v>2143.799770894449</v>
      </c>
      <c r="AJ48">
        <v>2157.3652705405339</v>
      </c>
      <c r="AK48">
        <v>2151.658518277352</v>
      </c>
      <c r="AM48">
        <v>69.758510733714033</v>
      </c>
    </row>
    <row r="49" spans="2:40" x14ac:dyDescent="0.3">
      <c r="B49" t="s">
        <v>107</v>
      </c>
      <c r="C49" s="2">
        <v>45933</v>
      </c>
      <c r="D49" t="s">
        <v>38</v>
      </c>
      <c r="E49">
        <v>2</v>
      </c>
      <c r="G49">
        <v>42</v>
      </c>
      <c r="J49">
        <v>25.9</v>
      </c>
      <c r="K49">
        <v>171.75</v>
      </c>
      <c r="L49">
        <v>30</v>
      </c>
      <c r="M49">
        <v>0.10064399</v>
      </c>
      <c r="N49">
        <v>2313.2669299999998</v>
      </c>
      <c r="O49">
        <v>2266.36733069704</v>
      </c>
      <c r="P49">
        <v>1541.750145172344</v>
      </c>
      <c r="S49">
        <f t="shared" si="0"/>
        <v>0</v>
      </c>
      <c r="U49">
        <v>778</v>
      </c>
      <c r="V49">
        <v>4</v>
      </c>
      <c r="X49">
        <v>4.2</v>
      </c>
      <c r="Y49">
        <v>0.15</v>
      </c>
      <c r="Z49">
        <v>634.68168056342665</v>
      </c>
      <c r="AA49">
        <v>2200.1274873436332</v>
      </c>
      <c r="AD49" t="s">
        <v>108</v>
      </c>
      <c r="AE49" t="s">
        <v>108</v>
      </c>
      <c r="AG49">
        <v>1571.5038</v>
      </c>
      <c r="AH49">
        <v>1571.5038</v>
      </c>
      <c r="AI49">
        <v>2186.2262216629242</v>
      </c>
      <c r="AJ49">
        <v>2200.1274873436332</v>
      </c>
      <c r="AK49">
        <v>2194.1922357216822</v>
      </c>
      <c r="AM49">
        <v>68.027372451497797</v>
      </c>
    </row>
    <row r="50" spans="2:40" x14ac:dyDescent="0.3">
      <c r="B50" t="s">
        <v>109</v>
      </c>
      <c r="C50" s="2">
        <v>45933</v>
      </c>
      <c r="D50" t="s">
        <v>38</v>
      </c>
      <c r="E50">
        <v>3</v>
      </c>
      <c r="J50">
        <v>25</v>
      </c>
      <c r="K50">
        <v>171.4</v>
      </c>
      <c r="L50">
        <v>30</v>
      </c>
      <c r="M50">
        <v>0.10064399</v>
      </c>
      <c r="N50">
        <v>2313.2669299999998</v>
      </c>
      <c r="O50">
        <v>2266.36733069704</v>
      </c>
      <c r="S50">
        <f t="shared" si="0"/>
        <v>0</v>
      </c>
      <c r="V50">
        <v>4</v>
      </c>
      <c r="X50">
        <v>4.2</v>
      </c>
      <c r="Y50">
        <v>0.15</v>
      </c>
      <c r="Z50">
        <v>633.40972730571423</v>
      </c>
      <c r="AA50">
        <v>2211.185869275585</v>
      </c>
      <c r="AI50">
        <v>2197.2159720633881</v>
      </c>
      <c r="AJ50">
        <v>2211.185869275585</v>
      </c>
      <c r="AK50">
        <v>2205.218721598821</v>
      </c>
    </row>
    <row r="51" spans="2:40" x14ac:dyDescent="0.3">
      <c r="B51" t="s">
        <v>110</v>
      </c>
      <c r="C51" s="2">
        <v>45933</v>
      </c>
      <c r="D51" t="s">
        <v>38</v>
      </c>
      <c r="E51">
        <v>4</v>
      </c>
      <c r="G51">
        <v>46</v>
      </c>
      <c r="J51">
        <v>25.1</v>
      </c>
      <c r="K51">
        <v>171.35</v>
      </c>
      <c r="L51">
        <v>30</v>
      </c>
      <c r="M51">
        <v>0.10064399</v>
      </c>
      <c r="N51">
        <v>2313.2669299999998</v>
      </c>
      <c r="O51">
        <v>2266.36733069704</v>
      </c>
      <c r="P51">
        <v>1499.166451186826</v>
      </c>
      <c r="S51">
        <f t="shared" si="0"/>
        <v>0</v>
      </c>
      <c r="T51">
        <v>3</v>
      </c>
      <c r="U51">
        <v>783</v>
      </c>
      <c r="V51">
        <v>4</v>
      </c>
      <c r="X51">
        <v>4.2</v>
      </c>
      <c r="Y51">
        <v>0.15</v>
      </c>
      <c r="Z51">
        <v>631.87689661704519</v>
      </c>
      <c r="AA51">
        <v>2349.1257818225959</v>
      </c>
      <c r="AD51" t="s">
        <v>111</v>
      </c>
      <c r="AE51" t="s">
        <v>111</v>
      </c>
      <c r="AG51">
        <v>1528.4597000000001</v>
      </c>
      <c r="AH51">
        <v>1528.4597000000001</v>
      </c>
      <c r="AI51">
        <v>2334.268048000692</v>
      </c>
      <c r="AJ51">
        <v>2349.1257818225959</v>
      </c>
      <c r="AK51">
        <v>2342.7327829649062</v>
      </c>
      <c r="AM51">
        <v>66.148431936924581</v>
      </c>
    </row>
    <row r="52" spans="2:40" x14ac:dyDescent="0.3">
      <c r="B52" t="s">
        <v>112</v>
      </c>
      <c r="C52" s="2">
        <v>45933</v>
      </c>
      <c r="D52" t="s">
        <v>38</v>
      </c>
      <c r="E52">
        <v>5</v>
      </c>
      <c r="G52">
        <v>51</v>
      </c>
      <c r="J52">
        <v>25.1</v>
      </c>
      <c r="K52">
        <v>171.1</v>
      </c>
      <c r="L52">
        <v>30</v>
      </c>
      <c r="M52">
        <v>0.10064399</v>
      </c>
      <c r="N52">
        <v>2313.2669299999998</v>
      </c>
      <c r="O52">
        <v>2266.36733069704</v>
      </c>
      <c r="P52">
        <v>1538.965686438605</v>
      </c>
      <c r="S52">
        <f t="shared" si="0"/>
        <v>0</v>
      </c>
      <c r="T52">
        <v>4</v>
      </c>
      <c r="V52">
        <v>4</v>
      </c>
      <c r="X52">
        <v>4.2</v>
      </c>
      <c r="Y52">
        <v>0.15</v>
      </c>
      <c r="Z52">
        <v>631.91279693560023</v>
      </c>
      <c r="AA52">
        <v>2349.8796624254951</v>
      </c>
      <c r="AD52" t="s">
        <v>113</v>
      </c>
      <c r="AE52" t="s">
        <v>113</v>
      </c>
      <c r="AG52">
        <v>1569.0365999999999</v>
      </c>
      <c r="AH52">
        <v>1569.0365999999999</v>
      </c>
      <c r="AI52">
        <v>2335.017260745617</v>
      </c>
      <c r="AJ52">
        <v>2349.8796624254951</v>
      </c>
      <c r="AK52">
        <v>2343.484939629046</v>
      </c>
      <c r="AM52">
        <v>67.904512458943856</v>
      </c>
    </row>
    <row r="53" spans="2:40" x14ac:dyDescent="0.3">
      <c r="B53" t="s">
        <v>114</v>
      </c>
      <c r="C53" s="2">
        <v>45933</v>
      </c>
      <c r="D53" t="s">
        <v>38</v>
      </c>
      <c r="E53">
        <v>7</v>
      </c>
      <c r="J53">
        <v>25.2</v>
      </c>
      <c r="K53">
        <v>170.85</v>
      </c>
      <c r="L53">
        <v>30</v>
      </c>
      <c r="M53">
        <v>0.10064399</v>
      </c>
      <c r="N53">
        <v>2313.2669299999998</v>
      </c>
      <c r="O53">
        <v>2266.36733069704</v>
      </c>
      <c r="S53">
        <f t="shared" si="0"/>
        <v>0</v>
      </c>
      <c r="V53">
        <v>4</v>
      </c>
      <c r="X53">
        <v>2.25</v>
      </c>
      <c r="Y53">
        <v>0.15</v>
      </c>
    </row>
    <row r="54" spans="2:40" x14ac:dyDescent="0.3">
      <c r="B54" t="s">
        <v>115</v>
      </c>
      <c r="C54" s="2">
        <v>45933</v>
      </c>
      <c r="D54" t="s">
        <v>38</v>
      </c>
      <c r="E54">
        <v>8</v>
      </c>
      <c r="G54">
        <v>54</v>
      </c>
      <c r="J54">
        <v>25.2</v>
      </c>
      <c r="K54">
        <v>170.35</v>
      </c>
      <c r="L54">
        <v>30</v>
      </c>
      <c r="M54">
        <v>0.10064399</v>
      </c>
      <c r="N54">
        <v>2313.2669299999998</v>
      </c>
      <c r="O54">
        <v>2266.36733069704</v>
      </c>
      <c r="P54">
        <v>1882.918667758292</v>
      </c>
      <c r="S54">
        <f t="shared" si="0"/>
        <v>0</v>
      </c>
      <c r="U54">
        <v>533</v>
      </c>
      <c r="V54">
        <v>4</v>
      </c>
      <c r="X54">
        <v>2.25</v>
      </c>
      <c r="Y54">
        <v>0.15</v>
      </c>
      <c r="AD54" t="s">
        <v>116</v>
      </c>
      <c r="AE54" t="s">
        <v>116</v>
      </c>
      <c r="AG54">
        <v>1919.6541</v>
      </c>
      <c r="AH54">
        <v>1919.6541</v>
      </c>
      <c r="AM54">
        <v>83.080912888873357</v>
      </c>
    </row>
    <row r="55" spans="2:40" x14ac:dyDescent="0.3">
      <c r="B55" t="s">
        <v>117</v>
      </c>
      <c r="C55" s="2">
        <v>45933</v>
      </c>
      <c r="D55" t="s">
        <v>38</v>
      </c>
      <c r="E55">
        <v>9</v>
      </c>
      <c r="G55">
        <v>55</v>
      </c>
      <c r="J55">
        <v>25.2</v>
      </c>
      <c r="K55">
        <v>170.2</v>
      </c>
      <c r="L55">
        <v>30</v>
      </c>
      <c r="M55">
        <v>0.10064399</v>
      </c>
      <c r="N55">
        <v>2313.2669299999998</v>
      </c>
      <c r="O55">
        <v>2266.36733069704</v>
      </c>
      <c r="P55">
        <v>1900.794316797718</v>
      </c>
      <c r="S55">
        <f t="shared" si="0"/>
        <v>0</v>
      </c>
      <c r="V55">
        <v>4</v>
      </c>
      <c r="X55">
        <v>2.25</v>
      </c>
      <c r="Y55">
        <v>0.15</v>
      </c>
      <c r="AD55" t="s">
        <v>118</v>
      </c>
      <c r="AE55" t="s">
        <v>118</v>
      </c>
      <c r="AG55">
        <v>1937.8785</v>
      </c>
      <c r="AH55">
        <v>1937.8785</v>
      </c>
      <c r="AM55">
        <v>83.869648624572832</v>
      </c>
    </row>
    <row r="56" spans="2:40" x14ac:dyDescent="0.3">
      <c r="B56" t="s">
        <v>119</v>
      </c>
      <c r="C56" s="2">
        <v>45936</v>
      </c>
      <c r="D56" t="s">
        <v>38</v>
      </c>
      <c r="E56">
        <v>1</v>
      </c>
      <c r="G56">
        <v>59</v>
      </c>
      <c r="J56">
        <v>24.7</v>
      </c>
      <c r="K56">
        <v>170.05</v>
      </c>
      <c r="L56">
        <v>30</v>
      </c>
      <c r="M56">
        <v>0.10064399</v>
      </c>
      <c r="N56">
        <v>2283.7085999999999</v>
      </c>
      <c r="O56">
        <v>2237.4082717172091</v>
      </c>
      <c r="P56">
        <v>519.2969954085205</v>
      </c>
      <c r="Q56">
        <v>1727.0774261756301</v>
      </c>
      <c r="R56">
        <v>1770.326543062273</v>
      </c>
      <c r="S56">
        <f t="shared" si="0"/>
        <v>-43.249116886642923</v>
      </c>
      <c r="T56">
        <v>40</v>
      </c>
      <c r="U56">
        <v>788</v>
      </c>
      <c r="V56">
        <v>4</v>
      </c>
      <c r="X56">
        <v>4.2</v>
      </c>
      <c r="Y56">
        <v>0.15</v>
      </c>
      <c r="Z56">
        <v>631.36217735560558</v>
      </c>
      <c r="AA56">
        <v>2309.22302011891</v>
      </c>
      <c r="AD56" t="s">
        <v>120</v>
      </c>
      <c r="AE56" t="s">
        <v>120</v>
      </c>
      <c r="AG56">
        <v>529.50549999999998</v>
      </c>
      <c r="AH56">
        <v>529.50549999999998</v>
      </c>
      <c r="AI56">
        <v>2294.6862650158</v>
      </c>
      <c r="AJ56">
        <v>2309.22302011891</v>
      </c>
      <c r="AK56">
        <v>2302.3800944585591</v>
      </c>
      <c r="AM56">
        <v>23.20975576844366</v>
      </c>
      <c r="AN56">
        <v>0.67848702799533245</v>
      </c>
    </row>
    <row r="57" spans="2:40" x14ac:dyDescent="0.3">
      <c r="B57" t="s">
        <v>121</v>
      </c>
      <c r="C57" s="2">
        <v>45936</v>
      </c>
      <c r="D57" t="s">
        <v>38</v>
      </c>
      <c r="E57">
        <v>2</v>
      </c>
      <c r="G57">
        <v>61</v>
      </c>
      <c r="J57">
        <v>24.7</v>
      </c>
      <c r="K57">
        <v>169.75</v>
      </c>
      <c r="L57">
        <v>30</v>
      </c>
      <c r="M57">
        <v>0.10064399</v>
      </c>
      <c r="N57">
        <v>2283.7085999999999</v>
      </c>
      <c r="O57">
        <v>2237.4082717172091</v>
      </c>
      <c r="P57">
        <v>941.52255186799005</v>
      </c>
      <c r="Q57">
        <v>1762.4220047633039</v>
      </c>
      <c r="R57">
        <v>1785.1959247904931</v>
      </c>
      <c r="S57">
        <f t="shared" si="0"/>
        <v>-22.773920027189206</v>
      </c>
      <c r="T57">
        <v>20</v>
      </c>
      <c r="V57">
        <v>4</v>
      </c>
      <c r="W57">
        <v>1</v>
      </c>
      <c r="X57">
        <v>4.2</v>
      </c>
      <c r="Y57">
        <v>0.15</v>
      </c>
      <c r="Z57">
        <v>631.55732374616332</v>
      </c>
      <c r="AA57">
        <v>2317.8026516901909</v>
      </c>
      <c r="AB57">
        <v>2315.0329999999999</v>
      </c>
      <c r="AC57">
        <v>1.87</v>
      </c>
      <c r="AD57" t="s">
        <v>122</v>
      </c>
      <c r="AE57" t="s">
        <v>122</v>
      </c>
      <c r="AG57">
        <v>960.03129999999999</v>
      </c>
      <c r="AH57">
        <v>960.03129999999999</v>
      </c>
      <c r="AI57">
        <v>2301.6218791180358</v>
      </c>
      <c r="AJ57">
        <v>2317.8026516901909</v>
      </c>
      <c r="AK57">
        <v>2309.928296470554</v>
      </c>
      <c r="AM57">
        <v>42.080945340627181</v>
      </c>
      <c r="AN57">
        <v>0.67848702799533245</v>
      </c>
    </row>
    <row r="58" spans="2:40" x14ac:dyDescent="0.3">
      <c r="B58" t="s">
        <v>123</v>
      </c>
      <c r="C58" s="2">
        <v>45936</v>
      </c>
      <c r="D58" t="s">
        <v>38</v>
      </c>
      <c r="E58">
        <v>3</v>
      </c>
      <c r="G58">
        <v>62</v>
      </c>
      <c r="J58">
        <v>25.2</v>
      </c>
      <c r="K58">
        <v>169.9</v>
      </c>
      <c r="L58">
        <v>30</v>
      </c>
      <c r="M58">
        <v>0.10064399</v>
      </c>
      <c r="N58">
        <v>2283.7085999999999</v>
      </c>
      <c r="O58">
        <v>2237.4082717172091</v>
      </c>
      <c r="P58">
        <v>1284.798591662676</v>
      </c>
      <c r="Q58">
        <v>1799.9086993448341</v>
      </c>
      <c r="R58">
        <v>1812.3557636036301</v>
      </c>
      <c r="S58">
        <f t="shared" si="0"/>
        <v>-12.44706425879599</v>
      </c>
      <c r="T58">
        <v>10</v>
      </c>
      <c r="U58">
        <v>732</v>
      </c>
      <c r="V58">
        <v>4</v>
      </c>
      <c r="W58">
        <v>1</v>
      </c>
      <c r="X58">
        <v>4.2</v>
      </c>
      <c r="Y58">
        <v>0.15</v>
      </c>
      <c r="Z58">
        <v>631.83737653886453</v>
      </c>
      <c r="AA58">
        <v>2316.520115857903</v>
      </c>
      <c r="AB58">
        <v>2315.0329999999999</v>
      </c>
      <c r="AC58">
        <v>1.87</v>
      </c>
      <c r="AD58" t="s">
        <v>124</v>
      </c>
      <c r="AE58" t="s">
        <v>124</v>
      </c>
      <c r="AG58">
        <v>1309.8648000000001</v>
      </c>
      <c r="AH58">
        <v>1309.8648000000001</v>
      </c>
      <c r="AI58">
        <v>2301.8573209073929</v>
      </c>
      <c r="AJ58">
        <v>2316.520115857903</v>
      </c>
      <c r="AK58">
        <v>2310.1729198831158</v>
      </c>
      <c r="AM58">
        <v>57.423520235606993</v>
      </c>
      <c r="AN58">
        <v>0.67848702799533245</v>
      </c>
    </row>
    <row r="59" spans="2:40" x14ac:dyDescent="0.3">
      <c r="B59" t="s">
        <v>125</v>
      </c>
      <c r="C59" s="2">
        <v>45936</v>
      </c>
      <c r="D59" t="s">
        <v>38</v>
      </c>
      <c r="E59">
        <v>4</v>
      </c>
      <c r="G59">
        <v>63</v>
      </c>
      <c r="J59">
        <v>25.2</v>
      </c>
      <c r="K59">
        <v>169.75</v>
      </c>
      <c r="L59">
        <v>30</v>
      </c>
      <c r="M59">
        <v>0.10064399</v>
      </c>
      <c r="N59">
        <v>2283.7085999999999</v>
      </c>
      <c r="O59">
        <v>2237.4082717172091</v>
      </c>
      <c r="P59">
        <v>1473.45523177103</v>
      </c>
      <c r="Q59">
        <v>1784.869886623304</v>
      </c>
      <c r="R59">
        <v>1791.873983586883</v>
      </c>
      <c r="S59">
        <f t="shared" si="0"/>
        <v>-7.0040969635790589</v>
      </c>
      <c r="T59">
        <v>5</v>
      </c>
      <c r="U59">
        <v>735</v>
      </c>
      <c r="V59">
        <v>4</v>
      </c>
      <c r="W59">
        <v>1</v>
      </c>
      <c r="X59">
        <v>4.2</v>
      </c>
      <c r="Y59">
        <v>0.15</v>
      </c>
      <c r="Z59">
        <v>631.78574350261272</v>
      </c>
      <c r="AA59">
        <v>2315.4921640696348</v>
      </c>
      <c r="AB59">
        <v>2315.0329999999999</v>
      </c>
      <c r="AC59">
        <v>1.87</v>
      </c>
      <c r="AD59" t="s">
        <v>126</v>
      </c>
      <c r="AE59" t="s">
        <v>126</v>
      </c>
      <c r="AG59">
        <v>1502.2021</v>
      </c>
      <c r="AH59">
        <v>1502.2021</v>
      </c>
      <c r="AI59">
        <v>2300.8357565680631</v>
      </c>
      <c r="AJ59">
        <v>2315.4921640696348</v>
      </c>
      <c r="AK59">
        <v>2309.147264870594</v>
      </c>
      <c r="AM59">
        <v>65.855447590714149</v>
      </c>
      <c r="AN59">
        <v>0.67848702799533245</v>
      </c>
    </row>
    <row r="60" spans="2:40" x14ac:dyDescent="0.3">
      <c r="B60" t="s">
        <v>127</v>
      </c>
      <c r="C60" s="2">
        <v>45936</v>
      </c>
      <c r="D60" t="s">
        <v>38</v>
      </c>
      <c r="E60">
        <v>5</v>
      </c>
      <c r="G60">
        <v>64</v>
      </c>
      <c r="J60">
        <v>25.1</v>
      </c>
      <c r="K60">
        <v>169.75</v>
      </c>
      <c r="L60">
        <v>30</v>
      </c>
      <c r="M60">
        <v>0.10064399</v>
      </c>
      <c r="N60">
        <v>2283.7085999999999</v>
      </c>
      <c r="O60">
        <v>2237.4082717172091</v>
      </c>
      <c r="P60">
        <v>1597.712099691973</v>
      </c>
      <c r="Q60">
        <v>1773.5304510336</v>
      </c>
      <c r="R60">
        <v>1777.3149702751721</v>
      </c>
      <c r="S60">
        <f t="shared" si="0"/>
        <v>-3.7845192415720703</v>
      </c>
      <c r="T60">
        <v>2</v>
      </c>
      <c r="V60">
        <v>4</v>
      </c>
      <c r="W60">
        <v>1</v>
      </c>
      <c r="X60">
        <v>4.2</v>
      </c>
      <c r="Y60">
        <v>0.15</v>
      </c>
      <c r="Z60">
        <v>631.76802676612101</v>
      </c>
      <c r="AA60">
        <v>2313.9681739421999</v>
      </c>
      <c r="AB60">
        <v>2315.0329999999999</v>
      </c>
      <c r="AC60">
        <v>1.87</v>
      </c>
      <c r="AD60" t="s">
        <v>128</v>
      </c>
      <c r="AE60" t="s">
        <v>128</v>
      </c>
      <c r="AG60">
        <v>1628.9309000000001</v>
      </c>
      <c r="AH60">
        <v>1628.9309000000001</v>
      </c>
      <c r="AI60">
        <v>2299.6969222680682</v>
      </c>
      <c r="AJ60">
        <v>2313.9681739421999</v>
      </c>
      <c r="AK60">
        <v>2308.001029927741</v>
      </c>
      <c r="AM60">
        <v>71.409054837619337</v>
      </c>
      <c r="AN60">
        <v>0.67848702799533245</v>
      </c>
    </row>
    <row r="61" spans="2:40" x14ac:dyDescent="0.3">
      <c r="B61" t="s">
        <v>129</v>
      </c>
      <c r="C61" s="2">
        <v>45936</v>
      </c>
      <c r="D61" t="s">
        <v>38</v>
      </c>
      <c r="E61">
        <v>6</v>
      </c>
      <c r="G61">
        <v>65</v>
      </c>
      <c r="J61">
        <v>25.1</v>
      </c>
      <c r="K61">
        <v>169.65</v>
      </c>
      <c r="L61">
        <v>30</v>
      </c>
      <c r="M61">
        <v>0.10064399</v>
      </c>
      <c r="N61">
        <v>2283.7085999999999</v>
      </c>
      <c r="O61">
        <v>2237.4082717172091</v>
      </c>
      <c r="P61">
        <v>1650.7734964102481</v>
      </c>
      <c r="Q61">
        <v>1754.085190201361</v>
      </c>
      <c r="R61">
        <v>1756.260180118501</v>
      </c>
      <c r="S61">
        <f t="shared" si="0"/>
        <v>-2.1749899171400102</v>
      </c>
      <c r="T61">
        <v>0.5</v>
      </c>
      <c r="U61">
        <v>735</v>
      </c>
      <c r="V61">
        <v>4</v>
      </c>
      <c r="W61">
        <v>1</v>
      </c>
      <c r="X61">
        <v>4.2</v>
      </c>
      <c r="Y61">
        <v>0.15</v>
      </c>
      <c r="Z61">
        <v>631.7555535153881</v>
      </c>
      <c r="AA61">
        <v>2312.2569270904278</v>
      </c>
      <c r="AB61">
        <v>2315.0329999999999</v>
      </c>
      <c r="AC61">
        <v>1.87</v>
      </c>
      <c r="AD61" t="s">
        <v>130</v>
      </c>
      <c r="AE61" t="s">
        <v>130</v>
      </c>
      <c r="AG61">
        <v>1683.0291</v>
      </c>
      <c r="AH61">
        <v>1683.0291</v>
      </c>
      <c r="AI61">
        <v>2296.8303916631799</v>
      </c>
      <c r="AJ61">
        <v>2312.2569270904278</v>
      </c>
      <c r="AK61">
        <v>2305.1231626580188</v>
      </c>
      <c r="AM61">
        <v>73.780611132865829</v>
      </c>
      <c r="AN61">
        <v>0.67848702799533245</v>
      </c>
    </row>
    <row r="62" spans="2:40" x14ac:dyDescent="0.3">
      <c r="B62" t="s">
        <v>131</v>
      </c>
      <c r="C62" s="2">
        <v>45936</v>
      </c>
      <c r="D62" t="s">
        <v>38</v>
      </c>
      <c r="E62">
        <v>7</v>
      </c>
      <c r="G62">
        <v>66</v>
      </c>
      <c r="J62">
        <v>25.1</v>
      </c>
      <c r="K62">
        <v>169.5</v>
      </c>
      <c r="L62">
        <v>30</v>
      </c>
      <c r="M62">
        <v>0.10064399</v>
      </c>
      <c r="N62">
        <v>2283.7085999999999</v>
      </c>
      <c r="O62">
        <v>2237.4082717172091</v>
      </c>
      <c r="P62">
        <v>1690.321539871919</v>
      </c>
      <c r="Q62">
        <v>1770.142780273223</v>
      </c>
      <c r="R62">
        <v>1771.8107865933939</v>
      </c>
      <c r="S62">
        <f t="shared" si="0"/>
        <v>-1.668006320170889</v>
      </c>
      <c r="T62">
        <v>0</v>
      </c>
      <c r="V62">
        <v>4</v>
      </c>
      <c r="W62">
        <v>1</v>
      </c>
      <c r="X62">
        <v>4.2</v>
      </c>
      <c r="Y62">
        <v>0.15</v>
      </c>
      <c r="Z62">
        <v>631.75897945562622</v>
      </c>
      <c r="AA62">
        <v>2315.510244343498</v>
      </c>
      <c r="AB62">
        <v>2315.0329999999999</v>
      </c>
      <c r="AC62">
        <v>1.87</v>
      </c>
      <c r="AD62" t="s">
        <v>132</v>
      </c>
      <c r="AE62" t="s">
        <v>132</v>
      </c>
      <c r="AG62">
        <v>1723.3498999999999</v>
      </c>
      <c r="AH62">
        <v>1723.3498999999999</v>
      </c>
      <c r="AI62">
        <v>2300.233706579404</v>
      </c>
      <c r="AJ62">
        <v>2315.510244343498</v>
      </c>
      <c r="AK62">
        <v>2308.5408262295591</v>
      </c>
      <c r="AM62">
        <v>75.548193918787945</v>
      </c>
      <c r="AN62">
        <v>0.67848702799533245</v>
      </c>
    </row>
    <row r="63" spans="2:40" x14ac:dyDescent="0.3">
      <c r="B63" t="s">
        <v>133</v>
      </c>
      <c r="C63" s="2">
        <v>45936</v>
      </c>
      <c r="D63" t="s">
        <v>38</v>
      </c>
      <c r="E63">
        <v>8</v>
      </c>
      <c r="G63">
        <v>67</v>
      </c>
      <c r="J63">
        <v>25.1</v>
      </c>
      <c r="K63">
        <v>169.55</v>
      </c>
      <c r="L63">
        <v>30</v>
      </c>
      <c r="M63">
        <v>0.10064399</v>
      </c>
      <c r="N63">
        <v>2283.7085999999999</v>
      </c>
      <c r="O63">
        <v>2237.4082717172091</v>
      </c>
      <c r="P63">
        <v>1620.840478326307</v>
      </c>
      <c r="Q63">
        <v>1747.5409012868411</v>
      </c>
      <c r="R63">
        <v>1750.228141943762</v>
      </c>
      <c r="S63">
        <f t="shared" si="0"/>
        <v>-2.6872406569209488</v>
      </c>
      <c r="T63">
        <v>1</v>
      </c>
      <c r="U63">
        <v>750</v>
      </c>
      <c r="V63">
        <v>4</v>
      </c>
      <c r="W63">
        <v>1</v>
      </c>
      <c r="X63">
        <v>4.2</v>
      </c>
      <c r="Y63">
        <v>0.15</v>
      </c>
      <c r="Z63">
        <v>631.72929337659139</v>
      </c>
      <c r="AA63">
        <v>2313.682559671759</v>
      </c>
      <c r="AB63">
        <v>2315.0329999999999</v>
      </c>
      <c r="AC63">
        <v>1.87</v>
      </c>
      <c r="AD63" t="s">
        <v>134</v>
      </c>
      <c r="AE63" t="s">
        <v>134</v>
      </c>
      <c r="AG63">
        <v>1652.5111999999999</v>
      </c>
      <c r="AH63">
        <v>1652.5111999999999</v>
      </c>
      <c r="AI63">
        <v>2299.1360533937218</v>
      </c>
      <c r="AJ63">
        <v>2313.682559671759</v>
      </c>
      <c r="AK63">
        <v>2307.4381167032511</v>
      </c>
      <c r="AM63">
        <v>72.442767769081016</v>
      </c>
      <c r="AN63">
        <v>0.67848702799533245</v>
      </c>
    </row>
    <row r="64" spans="2:40" x14ac:dyDescent="0.3">
      <c r="B64" t="s">
        <v>135</v>
      </c>
      <c r="C64" s="2">
        <v>45938</v>
      </c>
      <c r="D64" t="s">
        <v>38</v>
      </c>
      <c r="E64">
        <v>1</v>
      </c>
      <c r="G64">
        <v>72</v>
      </c>
      <c r="J64">
        <v>25.1</v>
      </c>
      <c r="K64">
        <v>167.75</v>
      </c>
      <c r="L64">
        <v>30</v>
      </c>
      <c r="M64">
        <v>0.10064399</v>
      </c>
      <c r="N64">
        <v>2267.9422</v>
      </c>
      <c r="O64">
        <v>2221.9615226113019</v>
      </c>
      <c r="P64">
        <v>1222.8782374366219</v>
      </c>
      <c r="Q64">
        <v>1712.9509906108369</v>
      </c>
      <c r="R64">
        <v>1724.793054975856</v>
      </c>
      <c r="S64">
        <f t="shared" si="0"/>
        <v>-11.842064365019041</v>
      </c>
      <c r="T64">
        <v>10</v>
      </c>
      <c r="U64">
        <v>767</v>
      </c>
      <c r="V64">
        <v>4</v>
      </c>
      <c r="X64">
        <v>4.2</v>
      </c>
      <c r="Y64">
        <v>0.15</v>
      </c>
      <c r="Z64">
        <v>631.74029444186328</v>
      </c>
      <c r="AA64">
        <v>2312.95250439849</v>
      </c>
      <c r="AD64" t="s">
        <v>136</v>
      </c>
      <c r="AE64" t="s">
        <v>136</v>
      </c>
      <c r="AG64">
        <v>1246.7728999999999</v>
      </c>
      <c r="AH64">
        <v>1246.7728999999999</v>
      </c>
      <c r="AI64">
        <v>2296.8824360613989</v>
      </c>
      <c r="AJ64">
        <v>2312.95250439849</v>
      </c>
      <c r="AK64">
        <v>2305.1720320372228</v>
      </c>
      <c r="AM64">
        <v>55.035977220679612</v>
      </c>
      <c r="AN64">
        <v>0.67377454007835025</v>
      </c>
    </row>
    <row r="65" spans="2:40" x14ac:dyDescent="0.3">
      <c r="B65" t="s">
        <v>137</v>
      </c>
      <c r="C65" s="2">
        <v>45938</v>
      </c>
      <c r="D65" t="s">
        <v>38</v>
      </c>
      <c r="E65">
        <v>2</v>
      </c>
      <c r="G65">
        <v>74</v>
      </c>
      <c r="J65">
        <v>25.1</v>
      </c>
      <c r="K65">
        <v>167.85</v>
      </c>
      <c r="L65">
        <v>30</v>
      </c>
      <c r="M65">
        <v>0.10064399</v>
      </c>
      <c r="N65">
        <v>2267.9422</v>
      </c>
      <c r="O65">
        <v>2221.9615226113019</v>
      </c>
      <c r="P65">
        <v>907.34790259621889</v>
      </c>
      <c r="Q65">
        <v>1698.1483636858829</v>
      </c>
      <c r="R65">
        <v>1720.0872581446381</v>
      </c>
      <c r="S65">
        <f t="shared" si="0"/>
        <v>-21.938894458755158</v>
      </c>
      <c r="T65">
        <v>20</v>
      </c>
      <c r="U65">
        <v>701</v>
      </c>
      <c r="V65">
        <v>4</v>
      </c>
      <c r="W65">
        <v>1</v>
      </c>
      <c r="X65">
        <v>4.2</v>
      </c>
      <c r="Y65">
        <v>0.15</v>
      </c>
      <c r="Z65">
        <v>631.70311271772482</v>
      </c>
      <c r="AA65">
        <v>2312.430689864113</v>
      </c>
      <c r="AB65">
        <v>2315.8609999999999</v>
      </c>
      <c r="AC65">
        <v>4.3760000000000003</v>
      </c>
      <c r="AD65" t="s">
        <v>138</v>
      </c>
      <c r="AE65" t="s">
        <v>138</v>
      </c>
      <c r="AG65">
        <v>925.07719999999995</v>
      </c>
      <c r="AH65">
        <v>925.07719999999995</v>
      </c>
      <c r="AI65">
        <v>2297.1034946260138</v>
      </c>
      <c r="AJ65">
        <v>2312.430689864113</v>
      </c>
      <c r="AK65">
        <v>2305.3953527533272</v>
      </c>
      <c r="AM65">
        <v>40.835446220053448</v>
      </c>
      <c r="AN65">
        <v>0.67377454007835025</v>
      </c>
    </row>
    <row r="66" spans="2:40" x14ac:dyDescent="0.3">
      <c r="B66" t="s">
        <v>139</v>
      </c>
      <c r="C66" s="2">
        <v>45938</v>
      </c>
      <c r="D66" t="s">
        <v>38</v>
      </c>
      <c r="E66">
        <v>3</v>
      </c>
      <c r="G66">
        <v>75</v>
      </c>
      <c r="J66">
        <v>25.1</v>
      </c>
      <c r="K66">
        <v>167.55</v>
      </c>
      <c r="L66">
        <v>30</v>
      </c>
      <c r="M66">
        <v>0.10064399</v>
      </c>
      <c r="N66">
        <v>2267.9422</v>
      </c>
      <c r="O66">
        <v>2221.9615226113019</v>
      </c>
      <c r="P66">
        <v>1408.287301662589</v>
      </c>
      <c r="Q66">
        <v>1705.8300826620609</v>
      </c>
      <c r="R66">
        <v>1712.522184194411</v>
      </c>
      <c r="S66">
        <f t="shared" si="0"/>
        <v>-6.6921015323500797</v>
      </c>
      <c r="T66">
        <v>5</v>
      </c>
      <c r="U66">
        <v>704</v>
      </c>
      <c r="V66">
        <v>4</v>
      </c>
      <c r="W66">
        <v>1</v>
      </c>
      <c r="X66">
        <v>4.2</v>
      </c>
      <c r="Y66">
        <v>0.15</v>
      </c>
      <c r="Z66">
        <v>631.70289350995654</v>
      </c>
      <c r="AA66">
        <v>2313.025783601845</v>
      </c>
      <c r="AB66">
        <v>2315.8609999999999</v>
      </c>
      <c r="AC66">
        <v>4.3760000000000003</v>
      </c>
      <c r="AD66" t="s">
        <v>140</v>
      </c>
      <c r="AE66" t="s">
        <v>140</v>
      </c>
      <c r="AG66">
        <v>1435.8047999999999</v>
      </c>
      <c r="AH66">
        <v>1435.8047999999999</v>
      </c>
      <c r="AI66">
        <v>2297.889441258797</v>
      </c>
      <c r="AJ66">
        <v>2313.025783601845</v>
      </c>
      <c r="AK66">
        <v>2306.184065363906</v>
      </c>
      <c r="AM66">
        <v>63.380364031125808</v>
      </c>
      <c r="AN66">
        <v>0.67377454007835025</v>
      </c>
    </row>
    <row r="67" spans="2:40" x14ac:dyDescent="0.3">
      <c r="B67" t="s">
        <v>141</v>
      </c>
      <c r="C67" s="2">
        <v>45938</v>
      </c>
      <c r="D67" t="s">
        <v>38</v>
      </c>
      <c r="E67">
        <v>4</v>
      </c>
      <c r="G67">
        <v>77</v>
      </c>
      <c r="J67">
        <v>25.2</v>
      </c>
      <c r="K67">
        <v>167.55</v>
      </c>
      <c r="L67">
        <v>30</v>
      </c>
      <c r="M67">
        <v>0.10064399</v>
      </c>
      <c r="N67">
        <v>2267.9422</v>
      </c>
      <c r="O67">
        <v>2221.9615226113019</v>
      </c>
      <c r="P67">
        <v>470.94866924084369</v>
      </c>
      <c r="Q67">
        <v>1706.171345967027</v>
      </c>
      <c r="R67">
        <v>1752.0214662659801</v>
      </c>
      <c r="S67">
        <f t="shared" ref="S67:S130" si="1">Q67-R67</f>
        <v>-45.850120298953016</v>
      </c>
      <c r="T67">
        <v>43</v>
      </c>
      <c r="U67">
        <v>694</v>
      </c>
      <c r="V67">
        <v>4</v>
      </c>
      <c r="W67">
        <v>1</v>
      </c>
      <c r="X67">
        <v>4.2</v>
      </c>
      <c r="Y67">
        <v>0.15</v>
      </c>
      <c r="Z67">
        <v>631.78025688643095</v>
      </c>
      <c r="AA67">
        <v>2313.704136181429</v>
      </c>
      <c r="AB67">
        <v>2315.8609999999999</v>
      </c>
      <c r="AC67">
        <v>4.3760000000000003</v>
      </c>
      <c r="AD67" t="s">
        <v>142</v>
      </c>
      <c r="AE67" t="s">
        <v>142</v>
      </c>
      <c r="AG67">
        <v>480.13679999999999</v>
      </c>
      <c r="AH67">
        <v>480.13679999999999</v>
      </c>
      <c r="AI67">
        <v>2298.750900455701</v>
      </c>
      <c r="AJ67">
        <v>2313.704136181429</v>
      </c>
      <c r="AK67">
        <v>2307.0504755749448</v>
      </c>
      <c r="AM67">
        <v>21.195176624272669</v>
      </c>
      <c r="AN67">
        <v>0.67377454007835025</v>
      </c>
    </row>
    <row r="68" spans="2:40" x14ac:dyDescent="0.3">
      <c r="B68" t="s">
        <v>143</v>
      </c>
      <c r="C68" s="2">
        <v>45938</v>
      </c>
      <c r="D68" t="s">
        <v>38</v>
      </c>
      <c r="E68">
        <v>5</v>
      </c>
      <c r="G68">
        <v>79</v>
      </c>
      <c r="J68">
        <v>25.2</v>
      </c>
      <c r="K68">
        <v>167.4</v>
      </c>
      <c r="L68">
        <v>30</v>
      </c>
      <c r="M68">
        <v>0.10064399</v>
      </c>
      <c r="N68">
        <v>2267.9422</v>
      </c>
      <c r="O68">
        <v>2221.9615226113019</v>
      </c>
      <c r="P68">
        <v>49.543318047040117</v>
      </c>
      <c r="Q68">
        <v>2235.7270752876379</v>
      </c>
      <c r="R68">
        <v>2432.6251534320468</v>
      </c>
      <c r="S68">
        <f t="shared" si="1"/>
        <v>-196.89807814440883</v>
      </c>
      <c r="T68">
        <v>140</v>
      </c>
      <c r="V68">
        <v>4</v>
      </c>
      <c r="W68">
        <v>1</v>
      </c>
      <c r="X68">
        <v>4.2</v>
      </c>
      <c r="Y68">
        <v>0.15</v>
      </c>
      <c r="Z68">
        <v>631.86851263956521</v>
      </c>
      <c r="AA68">
        <v>2318.0729762881151</v>
      </c>
      <c r="AB68">
        <v>2315.8609999999999</v>
      </c>
      <c r="AC68">
        <v>4.3760000000000003</v>
      </c>
      <c r="AD68" t="s">
        <v>144</v>
      </c>
      <c r="AE68" t="s">
        <v>144</v>
      </c>
      <c r="AG68">
        <v>50.509900000000002</v>
      </c>
      <c r="AH68">
        <v>50.509900000000002</v>
      </c>
      <c r="AI68">
        <v>2303.0512988050341</v>
      </c>
      <c r="AJ68">
        <v>2318.0729762881151</v>
      </c>
      <c r="AK68">
        <v>2311.3691922812568</v>
      </c>
      <c r="AM68">
        <v>2.229710890259506</v>
      </c>
      <c r="AN68">
        <v>0.67377454007835025</v>
      </c>
    </row>
    <row r="69" spans="2:40" x14ac:dyDescent="0.3">
      <c r="B69" t="s">
        <v>145</v>
      </c>
      <c r="C69" s="2">
        <v>45938</v>
      </c>
      <c r="D69" t="s">
        <v>38</v>
      </c>
      <c r="E69">
        <v>6</v>
      </c>
      <c r="G69">
        <v>80</v>
      </c>
      <c r="J69">
        <v>25.1</v>
      </c>
      <c r="K69">
        <v>166.65</v>
      </c>
      <c r="L69">
        <v>30</v>
      </c>
      <c r="M69">
        <v>0.10064399</v>
      </c>
      <c r="N69">
        <v>2267.9422</v>
      </c>
      <c r="O69">
        <v>2221.9615226113019</v>
      </c>
      <c r="P69">
        <v>1631.057245848632</v>
      </c>
      <c r="Q69">
        <v>1708.0644987931701</v>
      </c>
      <c r="R69">
        <v>1709.673701856975</v>
      </c>
      <c r="S69">
        <f t="shared" si="1"/>
        <v>-1.6092030638048982</v>
      </c>
      <c r="T69">
        <v>0</v>
      </c>
      <c r="V69">
        <v>4</v>
      </c>
      <c r="W69">
        <v>1</v>
      </c>
      <c r="X69">
        <v>4.2</v>
      </c>
      <c r="Y69">
        <v>0.15</v>
      </c>
      <c r="Z69">
        <v>631.74049099856074</v>
      </c>
      <c r="AA69">
        <v>2323.819869230621</v>
      </c>
      <c r="AB69">
        <v>2315.8609999999999</v>
      </c>
      <c r="AC69">
        <v>4.3760000000000003</v>
      </c>
      <c r="AD69" t="s">
        <v>146</v>
      </c>
      <c r="AE69" t="s">
        <v>146</v>
      </c>
      <c r="AG69">
        <v>1662.9276</v>
      </c>
      <c r="AH69">
        <v>1662.9276</v>
      </c>
      <c r="AI69">
        <v>2309.1115813677352</v>
      </c>
      <c r="AJ69">
        <v>2323.819869230621</v>
      </c>
      <c r="AK69">
        <v>2317.455554231974</v>
      </c>
      <c r="AM69">
        <v>73.406187697245755</v>
      </c>
      <c r="AN69">
        <v>0.67377454007835025</v>
      </c>
    </row>
    <row r="70" spans="2:40" x14ac:dyDescent="0.3">
      <c r="B70" t="s">
        <v>147</v>
      </c>
      <c r="C70" s="2">
        <v>45938</v>
      </c>
      <c r="D70" t="s">
        <v>38</v>
      </c>
      <c r="E70">
        <v>7</v>
      </c>
      <c r="G70">
        <v>81</v>
      </c>
      <c r="J70">
        <v>25.2</v>
      </c>
      <c r="K70">
        <v>166.35</v>
      </c>
      <c r="L70">
        <v>30</v>
      </c>
      <c r="M70">
        <v>0.10064399</v>
      </c>
      <c r="N70">
        <v>2267.9422</v>
      </c>
      <c r="O70">
        <v>2221.9615226113019</v>
      </c>
      <c r="P70">
        <v>1028.2501101673629</v>
      </c>
      <c r="Q70">
        <v>1689.3489301596831</v>
      </c>
      <c r="R70">
        <v>1706.599562287809</v>
      </c>
      <c r="S70">
        <f t="shared" si="1"/>
        <v>-17.250632128125972</v>
      </c>
      <c r="T70">
        <v>15.5</v>
      </c>
      <c r="U70">
        <v>692</v>
      </c>
      <c r="V70">
        <v>4</v>
      </c>
      <c r="W70">
        <v>1</v>
      </c>
      <c r="X70">
        <v>4.2</v>
      </c>
      <c r="Y70">
        <v>0.15</v>
      </c>
      <c r="Z70">
        <v>631.86198994614404</v>
      </c>
      <c r="AA70">
        <v>2314.1117184217628</v>
      </c>
      <c r="AB70">
        <v>2315.8609999999999</v>
      </c>
      <c r="AC70">
        <v>4.3760000000000003</v>
      </c>
      <c r="AD70" t="s">
        <v>148</v>
      </c>
      <c r="AE70" t="s">
        <v>148</v>
      </c>
      <c r="AG70">
        <v>1048.3110999999999</v>
      </c>
      <c r="AH70">
        <v>1048.3110999999999</v>
      </c>
      <c r="AI70">
        <v>2298.7675197406911</v>
      </c>
      <c r="AJ70">
        <v>2314.1117184217628</v>
      </c>
      <c r="AK70">
        <v>2307.0672799571212</v>
      </c>
      <c r="AM70">
        <v>46.276683898600503</v>
      </c>
      <c r="AN70">
        <v>0.67377454007835025</v>
      </c>
    </row>
    <row r="71" spans="2:40" x14ac:dyDescent="0.3">
      <c r="B71" t="s">
        <v>149</v>
      </c>
      <c r="C71" s="2">
        <v>45939</v>
      </c>
      <c r="D71" t="s">
        <v>38</v>
      </c>
      <c r="E71">
        <v>1</v>
      </c>
      <c r="G71">
        <v>82</v>
      </c>
      <c r="J71">
        <v>24.7</v>
      </c>
      <c r="K71">
        <v>170.35</v>
      </c>
      <c r="L71">
        <v>30</v>
      </c>
      <c r="M71">
        <v>0.10064399</v>
      </c>
      <c r="N71">
        <v>2274.3346200000001</v>
      </c>
      <c r="O71">
        <v>2228.2243415122289</v>
      </c>
      <c r="P71">
        <v>1618.8740616398741</v>
      </c>
      <c r="Q71">
        <v>1720.1827637339111</v>
      </c>
      <c r="R71">
        <v>1722.315585271215</v>
      </c>
      <c r="S71">
        <f t="shared" si="1"/>
        <v>-2.1328215373039257</v>
      </c>
      <c r="T71">
        <v>0.5</v>
      </c>
      <c r="U71">
        <v>686</v>
      </c>
      <c r="V71">
        <v>4</v>
      </c>
      <c r="X71">
        <v>4.2</v>
      </c>
      <c r="Y71">
        <v>0.15</v>
      </c>
      <c r="Z71">
        <v>631.4188602226568</v>
      </c>
      <c r="AA71">
        <v>2311.7727792274191</v>
      </c>
      <c r="AD71" t="s">
        <v>150</v>
      </c>
      <c r="AE71" t="s">
        <v>150</v>
      </c>
      <c r="AG71">
        <v>1650.6984</v>
      </c>
      <c r="AH71">
        <v>1650.6984</v>
      </c>
      <c r="AI71">
        <v>2297.2210580905949</v>
      </c>
      <c r="AJ71">
        <v>2311.7727792274191</v>
      </c>
      <c r="AK71">
        <v>2305.9825545965882</v>
      </c>
      <c r="AM71">
        <v>72.653100115637059</v>
      </c>
      <c r="AN71">
        <v>0.67281028266943077</v>
      </c>
    </row>
    <row r="72" spans="2:40" x14ac:dyDescent="0.3">
      <c r="B72" t="s">
        <v>151</v>
      </c>
      <c r="C72" s="2">
        <v>45939</v>
      </c>
      <c r="D72" t="s">
        <v>38</v>
      </c>
      <c r="E72">
        <v>2</v>
      </c>
      <c r="G72">
        <v>85</v>
      </c>
      <c r="J72">
        <v>25.1</v>
      </c>
      <c r="K72">
        <v>170.25</v>
      </c>
      <c r="L72">
        <v>30</v>
      </c>
      <c r="M72">
        <v>0.10064399</v>
      </c>
      <c r="N72">
        <v>2274.3346200000001</v>
      </c>
      <c r="O72">
        <v>2228.2243415122289</v>
      </c>
      <c r="P72">
        <v>916.10764003575002</v>
      </c>
      <c r="Q72">
        <v>1714.6523915016569</v>
      </c>
      <c r="R72">
        <v>1736.806133039519</v>
      </c>
      <c r="S72">
        <f t="shared" si="1"/>
        <v>-22.153741537862061</v>
      </c>
      <c r="T72">
        <v>20</v>
      </c>
      <c r="U72">
        <v>672</v>
      </c>
      <c r="V72">
        <v>4</v>
      </c>
      <c r="W72">
        <v>1</v>
      </c>
      <c r="X72">
        <v>4.2</v>
      </c>
      <c r="Y72">
        <v>0.15</v>
      </c>
      <c r="Z72">
        <v>631.84571729390314</v>
      </c>
      <c r="AA72">
        <v>2316.7891617773048</v>
      </c>
      <c r="AB72">
        <v>2319.0419999999999</v>
      </c>
      <c r="AC72">
        <v>3.1859999999999999</v>
      </c>
      <c r="AD72" t="s">
        <v>152</v>
      </c>
      <c r="AE72" t="s">
        <v>152</v>
      </c>
      <c r="AG72">
        <v>934.00810000000001</v>
      </c>
      <c r="AH72">
        <v>934.00810000000001</v>
      </c>
      <c r="AI72">
        <v>2302.1318714599929</v>
      </c>
      <c r="AJ72">
        <v>2316.7891617773048</v>
      </c>
      <c r="AK72">
        <v>2310.4457126246962</v>
      </c>
      <c r="AM72">
        <v>41.11379733936554</v>
      </c>
      <c r="AN72">
        <v>0.67281028266943077</v>
      </c>
    </row>
    <row r="73" spans="2:40" x14ac:dyDescent="0.3">
      <c r="B73" t="s">
        <v>153</v>
      </c>
      <c r="C73" s="2">
        <v>45939</v>
      </c>
      <c r="D73" t="s">
        <v>38</v>
      </c>
      <c r="E73">
        <v>3</v>
      </c>
      <c r="J73">
        <v>24.8</v>
      </c>
      <c r="K73">
        <v>170.05</v>
      </c>
      <c r="L73">
        <v>30</v>
      </c>
      <c r="M73">
        <v>0.10064399</v>
      </c>
      <c r="N73">
        <v>2274.3346200000001</v>
      </c>
      <c r="O73">
        <v>2228.2243415122289</v>
      </c>
      <c r="S73">
        <f t="shared" si="1"/>
        <v>0</v>
      </c>
      <c r="V73">
        <v>4</v>
      </c>
      <c r="W73">
        <v>1</v>
      </c>
      <c r="X73">
        <v>4.2</v>
      </c>
      <c r="Y73">
        <v>0.15</v>
      </c>
      <c r="Z73">
        <v>631.75148814178499</v>
      </c>
      <c r="AA73">
        <v>2321.2944304104972</v>
      </c>
      <c r="AB73">
        <v>2319.0419999999999</v>
      </c>
      <c r="AC73">
        <v>3.1859999999999999</v>
      </c>
      <c r="AI73">
        <v>2305.9021458493412</v>
      </c>
      <c r="AJ73">
        <v>2321.2944304104972</v>
      </c>
      <c r="AK73">
        <v>2314.2265806478249</v>
      </c>
    </row>
    <row r="74" spans="2:40" x14ac:dyDescent="0.3">
      <c r="B74" t="s">
        <v>154</v>
      </c>
      <c r="C74" s="2">
        <v>45939</v>
      </c>
      <c r="D74" t="s">
        <v>38</v>
      </c>
      <c r="E74">
        <v>4</v>
      </c>
      <c r="G74">
        <v>87</v>
      </c>
      <c r="J74">
        <v>24.8</v>
      </c>
      <c r="L74">
        <v>30</v>
      </c>
      <c r="M74">
        <v>0.10064399</v>
      </c>
      <c r="N74">
        <v>2274.3346200000001</v>
      </c>
      <c r="O74">
        <v>2228.2243415122289</v>
      </c>
      <c r="P74">
        <v>1979.8620241908161</v>
      </c>
      <c r="Q74">
        <v>2076.5172146505452</v>
      </c>
      <c r="R74">
        <v>2078.5384999008638</v>
      </c>
      <c r="S74">
        <f t="shared" si="1"/>
        <v>-2.0212852503186696</v>
      </c>
      <c r="T74">
        <v>0.05</v>
      </c>
      <c r="U74">
        <v>50</v>
      </c>
      <c r="V74">
        <v>4</v>
      </c>
      <c r="X74">
        <v>4.2</v>
      </c>
      <c r="Y74">
        <v>4.2</v>
      </c>
      <c r="AD74" t="s">
        <v>155</v>
      </c>
      <c r="AE74" t="s">
        <v>155</v>
      </c>
      <c r="AG74">
        <v>2018.7243000000001</v>
      </c>
      <c r="AH74">
        <v>2018.7243000000001</v>
      </c>
      <c r="AM74">
        <v>88.853801087512736</v>
      </c>
      <c r="AN74">
        <v>0.67281028266943077</v>
      </c>
    </row>
    <row r="75" spans="2:40" x14ac:dyDescent="0.3">
      <c r="B75" t="s">
        <v>156</v>
      </c>
      <c r="C75" s="2">
        <v>45939</v>
      </c>
      <c r="D75" t="s">
        <v>38</v>
      </c>
      <c r="E75">
        <v>5</v>
      </c>
      <c r="G75">
        <v>88</v>
      </c>
      <c r="J75">
        <v>24.9</v>
      </c>
      <c r="L75">
        <v>30</v>
      </c>
      <c r="M75">
        <v>0.10064399</v>
      </c>
      <c r="N75">
        <v>2274.3346200000001</v>
      </c>
      <c r="O75">
        <v>2228.2243415122289</v>
      </c>
      <c r="P75">
        <v>1874.3021460594739</v>
      </c>
      <c r="Q75">
        <v>2080.8704689344481</v>
      </c>
      <c r="R75">
        <v>2085.316886425308</v>
      </c>
      <c r="S75">
        <f t="shared" si="1"/>
        <v>-4.4464174908598579</v>
      </c>
      <c r="T75">
        <v>2</v>
      </c>
      <c r="U75">
        <v>50</v>
      </c>
      <c r="V75">
        <v>4</v>
      </c>
      <c r="X75">
        <v>4.2</v>
      </c>
      <c r="Y75">
        <v>4.2</v>
      </c>
      <c r="AD75" t="s">
        <v>157</v>
      </c>
      <c r="AE75" t="s">
        <v>157</v>
      </c>
      <c r="AG75">
        <v>1911.0369000000001</v>
      </c>
      <c r="AH75">
        <v>1911.0369000000001</v>
      </c>
      <c r="AM75">
        <v>84.116402066923001</v>
      </c>
      <c r="AN75">
        <v>0.67281028266943077</v>
      </c>
    </row>
    <row r="76" spans="2:40" x14ac:dyDescent="0.3">
      <c r="B76" t="s">
        <v>158</v>
      </c>
      <c r="C76" s="2">
        <v>45939</v>
      </c>
      <c r="D76" t="s">
        <v>38</v>
      </c>
      <c r="E76">
        <v>6</v>
      </c>
      <c r="G76">
        <v>89</v>
      </c>
      <c r="J76">
        <v>25</v>
      </c>
      <c r="L76">
        <v>30</v>
      </c>
      <c r="M76">
        <v>0.10064399</v>
      </c>
      <c r="N76">
        <v>2274.3346200000001</v>
      </c>
      <c r="O76">
        <v>2228.2243415122289</v>
      </c>
      <c r="P76">
        <v>1713.0404122799971</v>
      </c>
      <c r="Q76">
        <v>2075.658816176599</v>
      </c>
      <c r="R76">
        <v>2083.8145481631841</v>
      </c>
      <c r="S76">
        <f t="shared" si="1"/>
        <v>-8.1557319865851241</v>
      </c>
      <c r="T76">
        <v>5</v>
      </c>
      <c r="U76">
        <v>50</v>
      </c>
      <c r="V76">
        <v>4</v>
      </c>
      <c r="X76">
        <v>4.2</v>
      </c>
      <c r="Y76">
        <v>4.2</v>
      </c>
      <c r="AD76" t="s">
        <v>159</v>
      </c>
      <c r="AE76" t="s">
        <v>159</v>
      </c>
      <c r="AG76">
        <v>1746.5636999999999</v>
      </c>
      <c r="AH76">
        <v>1746.5636999999999</v>
      </c>
      <c r="AM76">
        <v>76.879171471459998</v>
      </c>
      <c r="AN76">
        <v>0.67281028266943077</v>
      </c>
    </row>
    <row r="77" spans="2:40" x14ac:dyDescent="0.3">
      <c r="B77" t="s">
        <v>160</v>
      </c>
      <c r="C77" s="2">
        <v>45939</v>
      </c>
      <c r="D77" t="s">
        <v>38</v>
      </c>
      <c r="E77">
        <v>7</v>
      </c>
      <c r="G77">
        <v>91</v>
      </c>
      <c r="J77">
        <v>25.1</v>
      </c>
      <c r="L77">
        <v>30</v>
      </c>
      <c r="M77">
        <v>0.10064399</v>
      </c>
      <c r="N77">
        <v>2274.3346200000001</v>
      </c>
      <c r="O77">
        <v>2228.2243415122289</v>
      </c>
      <c r="P77">
        <v>1275.6867749456439</v>
      </c>
      <c r="Q77">
        <v>2098.2084397638018</v>
      </c>
      <c r="R77">
        <v>2119.6712199535418</v>
      </c>
      <c r="S77">
        <f t="shared" si="1"/>
        <v>-21.462780189739988</v>
      </c>
      <c r="T77">
        <v>15.5</v>
      </c>
      <c r="U77">
        <v>50</v>
      </c>
      <c r="V77">
        <v>4</v>
      </c>
      <c r="X77">
        <v>4.2</v>
      </c>
      <c r="Y77">
        <v>4.2</v>
      </c>
      <c r="AD77" t="s">
        <v>161</v>
      </c>
      <c r="AE77" t="s">
        <v>161</v>
      </c>
      <c r="AG77">
        <v>1300.6133</v>
      </c>
      <c r="AH77">
        <v>1300.6133</v>
      </c>
      <c r="AM77">
        <v>57.251271839166513</v>
      </c>
      <c r="AN77">
        <v>0.67281028266943077</v>
      </c>
    </row>
    <row r="78" spans="2:40" x14ac:dyDescent="0.3">
      <c r="B78" t="s">
        <v>162</v>
      </c>
      <c r="C78" s="2">
        <v>45939</v>
      </c>
      <c r="D78" t="s">
        <v>38</v>
      </c>
      <c r="E78">
        <v>8</v>
      </c>
      <c r="G78">
        <v>93</v>
      </c>
      <c r="J78">
        <v>25.1</v>
      </c>
      <c r="L78">
        <v>30</v>
      </c>
      <c r="M78">
        <v>0.10064399</v>
      </c>
      <c r="N78">
        <v>2274.3346200000001</v>
      </c>
      <c r="O78">
        <v>2228.2243415122289</v>
      </c>
      <c r="P78">
        <v>370.2442420154203</v>
      </c>
      <c r="Q78">
        <v>2186.9378101158668</v>
      </c>
      <c r="R78">
        <v>2268.6923314084611</v>
      </c>
      <c r="S78">
        <f t="shared" si="1"/>
        <v>-81.754521292594291</v>
      </c>
      <c r="T78">
        <v>60</v>
      </c>
      <c r="U78">
        <v>50</v>
      </c>
      <c r="V78">
        <v>4</v>
      </c>
      <c r="X78">
        <v>4.2</v>
      </c>
      <c r="Y78">
        <v>4.2</v>
      </c>
      <c r="AD78" t="s">
        <v>163</v>
      </c>
      <c r="AE78" t="s">
        <v>163</v>
      </c>
      <c r="AG78">
        <v>377.4787</v>
      </c>
      <c r="AH78">
        <v>377.4787</v>
      </c>
      <c r="AM78">
        <v>16.616111543066019</v>
      </c>
      <c r="AN78">
        <v>0.67281028266943077</v>
      </c>
    </row>
    <row r="79" spans="2:40" x14ac:dyDescent="0.3">
      <c r="B79" t="s">
        <v>164</v>
      </c>
      <c r="C79" s="2">
        <v>45939</v>
      </c>
      <c r="D79" t="s">
        <v>38</v>
      </c>
      <c r="E79">
        <v>9</v>
      </c>
      <c r="G79">
        <v>94</v>
      </c>
      <c r="J79">
        <v>25.1</v>
      </c>
      <c r="L79">
        <v>30</v>
      </c>
      <c r="M79">
        <v>0.10064399</v>
      </c>
      <c r="N79">
        <v>2274.3346200000001</v>
      </c>
      <c r="O79">
        <v>2228.2243415122289</v>
      </c>
      <c r="P79">
        <v>1459.70560393812</v>
      </c>
      <c r="Q79">
        <v>2075.9298813237019</v>
      </c>
      <c r="R79">
        <v>2090.9259781402311</v>
      </c>
      <c r="S79">
        <f t="shared" si="1"/>
        <v>-14.996096816529189</v>
      </c>
      <c r="T79">
        <v>10.5</v>
      </c>
      <c r="U79">
        <v>50</v>
      </c>
      <c r="V79">
        <v>4</v>
      </c>
      <c r="X79">
        <v>4.2</v>
      </c>
      <c r="Y79">
        <v>4.2</v>
      </c>
      <c r="AD79" t="s">
        <v>165</v>
      </c>
      <c r="AE79" t="s">
        <v>165</v>
      </c>
      <c r="AG79">
        <v>1488.2277999999999</v>
      </c>
      <c r="AH79">
        <v>1488.2277999999999</v>
      </c>
      <c r="AM79">
        <v>65.509813206127248</v>
      </c>
      <c r="AN79">
        <v>0.67281028266943077</v>
      </c>
    </row>
    <row r="80" spans="2:40" x14ac:dyDescent="0.3">
      <c r="B80" t="s">
        <v>166</v>
      </c>
      <c r="C80" s="2">
        <v>45939</v>
      </c>
      <c r="D80" t="s">
        <v>38</v>
      </c>
      <c r="E80">
        <v>10</v>
      </c>
      <c r="G80">
        <v>95</v>
      </c>
      <c r="J80">
        <v>25.1</v>
      </c>
      <c r="L80">
        <v>30</v>
      </c>
      <c r="M80">
        <v>0.10064399</v>
      </c>
      <c r="N80">
        <v>2274.3346200000001</v>
      </c>
      <c r="O80">
        <v>2228.2243415122289</v>
      </c>
      <c r="P80">
        <v>1557.6649094049001</v>
      </c>
      <c r="Q80">
        <v>2090.0033292014641</v>
      </c>
      <c r="R80">
        <v>2102.5952014277391</v>
      </c>
      <c r="S80">
        <f t="shared" si="1"/>
        <v>-12.591872226274972</v>
      </c>
      <c r="T80">
        <v>8.5</v>
      </c>
      <c r="U80">
        <v>50</v>
      </c>
      <c r="V80">
        <v>4</v>
      </c>
      <c r="X80">
        <v>4.2</v>
      </c>
      <c r="Y80">
        <v>4.2</v>
      </c>
      <c r="AD80" t="s">
        <v>167</v>
      </c>
      <c r="AE80" t="s">
        <v>167</v>
      </c>
      <c r="AG80">
        <v>1588.1012000000001</v>
      </c>
      <c r="AH80">
        <v>1588.1012000000001</v>
      </c>
      <c r="AM80">
        <v>69.906107764165242</v>
      </c>
      <c r="AN80">
        <v>0.67281028266943077</v>
      </c>
    </row>
    <row r="81" spans="2:40" x14ac:dyDescent="0.3">
      <c r="B81" t="s">
        <v>168</v>
      </c>
      <c r="C81" s="2">
        <v>45939</v>
      </c>
      <c r="D81" t="s">
        <v>38</v>
      </c>
      <c r="E81">
        <v>11</v>
      </c>
      <c r="G81">
        <v>96</v>
      </c>
      <c r="J81">
        <v>25.2</v>
      </c>
      <c r="L81">
        <v>30</v>
      </c>
      <c r="M81">
        <v>0.10064399</v>
      </c>
      <c r="N81">
        <v>2274.3346200000001</v>
      </c>
      <c r="O81">
        <v>2228.2243415122289</v>
      </c>
      <c r="P81">
        <v>978.52346872940348</v>
      </c>
      <c r="Q81">
        <v>2120.1700026324311</v>
      </c>
      <c r="R81">
        <v>2154.0168069085348</v>
      </c>
      <c r="S81">
        <f t="shared" si="1"/>
        <v>-33.84680427610374</v>
      </c>
      <c r="T81">
        <v>25</v>
      </c>
      <c r="U81">
        <v>50</v>
      </c>
      <c r="V81">
        <v>4</v>
      </c>
      <c r="X81">
        <v>4.2</v>
      </c>
      <c r="Y81">
        <v>4.2</v>
      </c>
      <c r="AD81" t="s">
        <v>169</v>
      </c>
      <c r="AE81" t="s">
        <v>169</v>
      </c>
      <c r="AG81">
        <v>997.61429999999996</v>
      </c>
      <c r="AH81">
        <v>997.61429999999996</v>
      </c>
      <c r="AM81">
        <v>43.914943863565782</v>
      </c>
      <c r="AN81">
        <v>0.67281028266943077</v>
      </c>
    </row>
    <row r="82" spans="2:40" x14ac:dyDescent="0.3">
      <c r="B82" t="s">
        <v>170</v>
      </c>
      <c r="C82" s="2">
        <v>45939</v>
      </c>
      <c r="D82" t="s">
        <v>38</v>
      </c>
      <c r="E82">
        <v>12</v>
      </c>
      <c r="G82">
        <v>99</v>
      </c>
      <c r="J82">
        <v>25.2</v>
      </c>
      <c r="L82">
        <v>30</v>
      </c>
      <c r="M82">
        <v>0.10064399</v>
      </c>
      <c r="N82">
        <v>2274.3346200000001</v>
      </c>
      <c r="O82">
        <v>2228.2243415122289</v>
      </c>
      <c r="P82">
        <v>642.68570797766438</v>
      </c>
      <c r="Q82">
        <v>2210.1353634709649</v>
      </c>
      <c r="R82">
        <v>2266.9439224754728</v>
      </c>
      <c r="S82">
        <f t="shared" si="1"/>
        <v>-56.80855900450797</v>
      </c>
      <c r="T82">
        <v>41</v>
      </c>
      <c r="U82">
        <v>50</v>
      </c>
      <c r="V82">
        <v>4</v>
      </c>
      <c r="X82">
        <v>4.2</v>
      </c>
      <c r="Y82">
        <v>4.2</v>
      </c>
      <c r="AD82" t="s">
        <v>171</v>
      </c>
      <c r="AE82" t="s">
        <v>171</v>
      </c>
      <c r="AG82">
        <v>655.22439999999995</v>
      </c>
      <c r="AH82">
        <v>655.22439999999995</v>
      </c>
      <c r="AM82">
        <v>28.842953377912249</v>
      </c>
      <c r="AN82">
        <v>0.67281028266943077</v>
      </c>
    </row>
    <row r="83" spans="2:40" x14ac:dyDescent="0.3">
      <c r="B83" t="s">
        <v>172</v>
      </c>
      <c r="C83" s="2">
        <v>45939</v>
      </c>
      <c r="D83" t="s">
        <v>38</v>
      </c>
      <c r="E83">
        <v>13</v>
      </c>
      <c r="G83">
        <v>100</v>
      </c>
      <c r="J83">
        <v>25.2</v>
      </c>
      <c r="L83">
        <v>30</v>
      </c>
      <c r="M83">
        <v>0.10064399</v>
      </c>
      <c r="N83">
        <v>2274.3346200000001</v>
      </c>
      <c r="O83">
        <v>2228.2243415122289</v>
      </c>
      <c r="P83">
        <v>755.35171282992155</v>
      </c>
      <c r="Q83">
        <v>1888.7220330848729</v>
      </c>
      <c r="R83">
        <v>1924.567788316177</v>
      </c>
      <c r="S83">
        <f t="shared" si="1"/>
        <v>-35.845755231304111</v>
      </c>
      <c r="T83">
        <v>30</v>
      </c>
      <c r="U83">
        <v>50</v>
      </c>
      <c r="V83">
        <v>4</v>
      </c>
      <c r="X83">
        <v>4.2</v>
      </c>
      <c r="Y83">
        <v>4.2</v>
      </c>
      <c r="AD83" t="s">
        <v>173</v>
      </c>
      <c r="AE83" t="s">
        <v>173</v>
      </c>
      <c r="AG83">
        <v>770.08849999999995</v>
      </c>
      <c r="AH83">
        <v>770.08849999999995</v>
      </c>
      <c r="AM83">
        <v>33.899266728110831</v>
      </c>
      <c r="AN83">
        <v>0.67281028266943077</v>
      </c>
    </row>
    <row r="84" spans="2:40" x14ac:dyDescent="0.3">
      <c r="B84" t="s">
        <v>174</v>
      </c>
      <c r="C84" s="2">
        <v>45939</v>
      </c>
      <c r="D84" t="s">
        <v>38</v>
      </c>
      <c r="E84">
        <v>14</v>
      </c>
      <c r="G84">
        <v>101</v>
      </c>
      <c r="J84">
        <v>25</v>
      </c>
      <c r="L84">
        <v>30</v>
      </c>
      <c r="M84">
        <v>0.10064399</v>
      </c>
      <c r="N84">
        <v>2274.3346200000001</v>
      </c>
      <c r="O84">
        <v>2228.2243415122289</v>
      </c>
      <c r="P84">
        <v>1711.261426091407</v>
      </c>
      <c r="Q84">
        <v>2073.4999273761809</v>
      </c>
      <c r="R84">
        <v>2081.6471148877772</v>
      </c>
      <c r="S84">
        <f t="shared" si="1"/>
        <v>-8.1471875115962575</v>
      </c>
      <c r="T84">
        <v>5</v>
      </c>
      <c r="U84">
        <v>50</v>
      </c>
      <c r="V84">
        <v>4</v>
      </c>
      <c r="X84">
        <v>4.2</v>
      </c>
      <c r="Y84">
        <v>4.2</v>
      </c>
      <c r="AD84" t="s">
        <v>175</v>
      </c>
      <c r="AE84" t="s">
        <v>175</v>
      </c>
      <c r="AG84">
        <v>1744.7499</v>
      </c>
      <c r="AH84">
        <v>1744.7499</v>
      </c>
      <c r="AM84">
        <v>76.799332733706038</v>
      </c>
      <c r="AN84">
        <v>0.67281028266943077</v>
      </c>
    </row>
    <row r="85" spans="2:40" x14ac:dyDescent="0.3">
      <c r="B85" t="s">
        <v>176</v>
      </c>
      <c r="C85" s="2">
        <v>45939</v>
      </c>
      <c r="D85" t="s">
        <v>38</v>
      </c>
      <c r="E85">
        <v>15</v>
      </c>
      <c r="G85">
        <v>102</v>
      </c>
      <c r="J85">
        <v>24.9</v>
      </c>
      <c r="L85">
        <v>30</v>
      </c>
      <c r="M85">
        <v>0.10064399</v>
      </c>
      <c r="N85">
        <v>2274.3346200000001</v>
      </c>
      <c r="O85">
        <v>2228.2243415122289</v>
      </c>
      <c r="P85">
        <v>1972.8207635809879</v>
      </c>
      <c r="Q85">
        <v>2066.1122185424229</v>
      </c>
      <c r="R85">
        <v>2068.0617088749618</v>
      </c>
      <c r="S85">
        <f t="shared" si="1"/>
        <v>-1.9494903325389714</v>
      </c>
      <c r="T85">
        <v>0</v>
      </c>
      <c r="U85">
        <v>50</v>
      </c>
      <c r="V85">
        <v>4</v>
      </c>
      <c r="X85">
        <v>4.2</v>
      </c>
      <c r="Y85">
        <v>4.2</v>
      </c>
      <c r="AD85" t="s">
        <v>177</v>
      </c>
      <c r="AE85" t="s">
        <v>177</v>
      </c>
      <c r="AG85">
        <v>2011.4864</v>
      </c>
      <c r="AH85">
        <v>2011.4864</v>
      </c>
      <c r="AM85">
        <v>88.537797870123512</v>
      </c>
      <c r="AN85">
        <v>0.67281028266943077</v>
      </c>
    </row>
    <row r="86" spans="2:40" x14ac:dyDescent="0.3">
      <c r="B86" t="s">
        <v>178</v>
      </c>
      <c r="C86" s="2">
        <v>45943</v>
      </c>
      <c r="D86" t="s">
        <v>38</v>
      </c>
      <c r="E86">
        <v>1</v>
      </c>
      <c r="G86">
        <v>107</v>
      </c>
      <c r="J86">
        <v>24.9</v>
      </c>
      <c r="K86">
        <v>172.85</v>
      </c>
      <c r="L86">
        <v>30</v>
      </c>
      <c r="M86">
        <v>0.10064399</v>
      </c>
      <c r="N86">
        <v>2294.8678300000001</v>
      </c>
      <c r="O86">
        <v>2248.3412574352619</v>
      </c>
      <c r="P86">
        <v>1664.8337513455481</v>
      </c>
      <c r="Q86">
        <v>1743.437571131338</v>
      </c>
      <c r="R86">
        <v>1745.0801372895819</v>
      </c>
      <c r="S86">
        <f t="shared" si="1"/>
        <v>-1.6425661582438806</v>
      </c>
      <c r="T86">
        <v>0</v>
      </c>
      <c r="U86">
        <v>694</v>
      </c>
      <c r="V86">
        <v>4</v>
      </c>
      <c r="W86">
        <v>1</v>
      </c>
      <c r="X86">
        <v>4.2</v>
      </c>
      <c r="Y86">
        <v>0.15</v>
      </c>
      <c r="Z86">
        <v>631.46797890438302</v>
      </c>
      <c r="AA86">
        <v>2308.9384223624488</v>
      </c>
      <c r="AB86">
        <v>2308.9380000000001</v>
      </c>
      <c r="AD86" t="s">
        <v>179</v>
      </c>
      <c r="AE86" t="s">
        <v>179</v>
      </c>
      <c r="AG86">
        <v>1697.4630999999999</v>
      </c>
      <c r="AH86">
        <v>1697.4630999999999</v>
      </c>
      <c r="AI86">
        <v>2294.4054096477421</v>
      </c>
      <c r="AJ86">
        <v>2308.9384223624488</v>
      </c>
      <c r="AK86">
        <v>2302.547020294393</v>
      </c>
      <c r="AM86">
        <v>74.047200167676721</v>
      </c>
      <c r="AN86">
        <v>0.67790934516936108</v>
      </c>
    </row>
    <row r="87" spans="2:40" x14ac:dyDescent="0.3">
      <c r="B87" t="s">
        <v>180</v>
      </c>
      <c r="C87" s="2">
        <v>45943</v>
      </c>
      <c r="D87" t="s">
        <v>38</v>
      </c>
      <c r="E87">
        <v>2</v>
      </c>
      <c r="G87">
        <v>108</v>
      </c>
      <c r="J87">
        <v>25</v>
      </c>
      <c r="K87">
        <v>172.05</v>
      </c>
      <c r="L87">
        <v>30</v>
      </c>
      <c r="M87">
        <v>0.10064399</v>
      </c>
      <c r="N87">
        <v>2294.8678300000001</v>
      </c>
      <c r="O87">
        <v>2248.3412574352619</v>
      </c>
      <c r="P87">
        <v>2091.9315153632419</v>
      </c>
      <c r="Q87">
        <v>2139.3074571035509</v>
      </c>
      <c r="R87">
        <v>2140.297461391252</v>
      </c>
      <c r="S87">
        <f t="shared" si="1"/>
        <v>-0.99000428770114013</v>
      </c>
      <c r="T87">
        <v>0</v>
      </c>
      <c r="U87">
        <v>240</v>
      </c>
      <c r="V87">
        <v>4</v>
      </c>
      <c r="X87">
        <v>1.2</v>
      </c>
      <c r="Y87">
        <v>0.15</v>
      </c>
      <c r="Z87">
        <v>460.22793216322731</v>
      </c>
      <c r="AA87">
        <v>294.21521625464032</v>
      </c>
      <c r="AD87" t="s">
        <v>181</v>
      </c>
      <c r="AE87" t="s">
        <v>181</v>
      </c>
      <c r="AG87">
        <v>2132.8694999999998</v>
      </c>
      <c r="AH87">
        <v>2132.8694999999998</v>
      </c>
      <c r="AI87">
        <v>292.56159486875328</v>
      </c>
      <c r="AJ87">
        <v>294.21521625464032</v>
      </c>
      <c r="AK87">
        <v>294.10556700734412</v>
      </c>
      <c r="AM87">
        <v>93.043327317204501</v>
      </c>
      <c r="AN87">
        <v>48.822330716689478</v>
      </c>
    </row>
    <row r="88" spans="2:40" x14ac:dyDescent="0.3">
      <c r="B88" t="s">
        <v>182</v>
      </c>
      <c r="C88" s="2">
        <v>45943</v>
      </c>
      <c r="D88" t="s">
        <v>38</v>
      </c>
      <c r="E88">
        <v>3</v>
      </c>
      <c r="G88">
        <v>110</v>
      </c>
      <c r="J88">
        <v>25.2</v>
      </c>
      <c r="K88">
        <v>171.75</v>
      </c>
      <c r="L88">
        <v>30</v>
      </c>
      <c r="M88">
        <v>0.10064399</v>
      </c>
      <c r="N88">
        <v>2294.8678300000001</v>
      </c>
      <c r="O88">
        <v>2248.3412574352619</v>
      </c>
      <c r="P88">
        <v>1231.649717421521</v>
      </c>
      <c r="Q88">
        <v>2133.8451916908102</v>
      </c>
      <c r="R88">
        <v>2178.0203011440171</v>
      </c>
      <c r="S88">
        <f t="shared" si="1"/>
        <v>-44.175109453206915</v>
      </c>
      <c r="T88">
        <v>68</v>
      </c>
      <c r="U88">
        <v>254</v>
      </c>
      <c r="V88">
        <v>4</v>
      </c>
      <c r="X88">
        <v>1.2</v>
      </c>
      <c r="Y88">
        <v>0.15</v>
      </c>
      <c r="Z88">
        <v>460.01805963997208</v>
      </c>
      <c r="AA88">
        <v>290.92992443891109</v>
      </c>
      <c r="AD88" t="s">
        <v>183</v>
      </c>
      <c r="AE88" t="s">
        <v>183</v>
      </c>
      <c r="AG88">
        <v>1255.6790000000001</v>
      </c>
      <c r="AH88">
        <v>1255.6790000000001</v>
      </c>
      <c r="AI88">
        <v>289.29590406955822</v>
      </c>
      <c r="AJ88">
        <v>290.92992443891109</v>
      </c>
      <c r="AK88">
        <v>290.82538345549528</v>
      </c>
      <c r="AM88">
        <v>54.780372567930108</v>
      </c>
      <c r="AN88">
        <v>48.822330716689478</v>
      </c>
    </row>
    <row r="89" spans="2:40" x14ac:dyDescent="0.3">
      <c r="B89" t="s">
        <v>184</v>
      </c>
      <c r="C89" s="2">
        <v>45943</v>
      </c>
      <c r="D89" t="s">
        <v>38</v>
      </c>
      <c r="E89">
        <v>4</v>
      </c>
      <c r="G89">
        <v>111</v>
      </c>
      <c r="J89">
        <v>25.1</v>
      </c>
      <c r="K89">
        <v>170.6</v>
      </c>
      <c r="L89">
        <v>30</v>
      </c>
      <c r="M89">
        <v>0.10064399</v>
      </c>
      <c r="N89">
        <v>2294.8678300000001</v>
      </c>
      <c r="O89">
        <v>2248.3412574352619</v>
      </c>
      <c r="P89">
        <v>1931.1600302533141</v>
      </c>
      <c r="Q89">
        <v>2109.1470511792209</v>
      </c>
      <c r="R89">
        <v>2113.1501972527899</v>
      </c>
      <c r="S89">
        <f t="shared" si="1"/>
        <v>-4.0031460735690416</v>
      </c>
      <c r="T89">
        <v>5</v>
      </c>
      <c r="V89">
        <v>4</v>
      </c>
      <c r="X89">
        <v>1.2</v>
      </c>
      <c r="Y89">
        <v>0.15</v>
      </c>
      <c r="Z89">
        <v>459.74557117391947</v>
      </c>
      <c r="AA89">
        <v>295.22807941089337</v>
      </c>
      <c r="AD89" t="s">
        <v>185</v>
      </c>
      <c r="AE89" t="s">
        <v>185</v>
      </c>
      <c r="AG89">
        <v>1968.8942999999999</v>
      </c>
      <c r="AH89">
        <v>1968.8942999999999</v>
      </c>
      <c r="AI89">
        <v>293.56995119171307</v>
      </c>
      <c r="AJ89">
        <v>295.22807941089337</v>
      </c>
      <c r="AK89">
        <v>295.12233755736321</v>
      </c>
      <c r="AM89">
        <v>85.892656369088556</v>
      </c>
      <c r="AN89">
        <v>48.822330716689478</v>
      </c>
    </row>
    <row r="90" spans="2:40" x14ac:dyDescent="0.3">
      <c r="B90" t="s">
        <v>186</v>
      </c>
      <c r="C90" s="2">
        <v>45943</v>
      </c>
      <c r="D90" t="s">
        <v>38</v>
      </c>
      <c r="E90">
        <v>5</v>
      </c>
      <c r="G90">
        <v>112</v>
      </c>
      <c r="J90">
        <v>25.1</v>
      </c>
      <c r="K90">
        <v>170.1</v>
      </c>
      <c r="L90">
        <v>30</v>
      </c>
      <c r="M90">
        <v>0.10064399</v>
      </c>
      <c r="N90">
        <v>2294.8678300000001</v>
      </c>
      <c r="O90">
        <v>2248.3412574352619</v>
      </c>
      <c r="P90">
        <v>2087.0161498770522</v>
      </c>
      <c r="Q90">
        <v>2134.1578721894898</v>
      </c>
      <c r="R90">
        <v>2135.1429820470371</v>
      </c>
      <c r="S90">
        <f t="shared" si="1"/>
        <v>-0.98510985754728608</v>
      </c>
      <c r="T90">
        <v>0</v>
      </c>
      <c r="U90">
        <v>250</v>
      </c>
      <c r="V90">
        <v>4</v>
      </c>
      <c r="X90">
        <v>1.2</v>
      </c>
      <c r="Y90">
        <v>0.15</v>
      </c>
      <c r="Z90">
        <v>460.01091288016778</v>
      </c>
      <c r="AA90">
        <v>296.16958850074178</v>
      </c>
      <c r="AD90" t="s">
        <v>187</v>
      </c>
      <c r="AE90" t="s">
        <v>187</v>
      </c>
      <c r="AG90">
        <v>2127.7957999999999</v>
      </c>
      <c r="AH90">
        <v>2127.7957999999999</v>
      </c>
      <c r="AI90">
        <v>294.50570284930558</v>
      </c>
      <c r="AJ90">
        <v>296.16958850074178</v>
      </c>
      <c r="AK90">
        <v>296.06200893761701</v>
      </c>
      <c r="AM90">
        <v>92.824705456758053</v>
      </c>
      <c r="AN90">
        <v>48.822330716689478</v>
      </c>
    </row>
    <row r="91" spans="2:40" x14ac:dyDescent="0.3">
      <c r="B91" t="s">
        <v>188</v>
      </c>
      <c r="C91" s="2">
        <v>45943</v>
      </c>
      <c r="D91" t="s">
        <v>38</v>
      </c>
      <c r="E91">
        <v>6</v>
      </c>
      <c r="G91">
        <v>113</v>
      </c>
      <c r="J91">
        <v>25.1</v>
      </c>
      <c r="K91">
        <v>169.85</v>
      </c>
      <c r="L91">
        <v>30</v>
      </c>
      <c r="M91">
        <v>0.10064399</v>
      </c>
      <c r="N91">
        <v>2294.8678300000001</v>
      </c>
      <c r="O91">
        <v>2248.3412574352619</v>
      </c>
      <c r="P91">
        <v>1955.2538445729349</v>
      </c>
      <c r="Q91">
        <v>2138.3861010535688</v>
      </c>
      <c r="R91">
        <v>2142.50496977591</v>
      </c>
      <c r="S91">
        <f t="shared" si="1"/>
        <v>-4.1188687223411762</v>
      </c>
      <c r="T91">
        <v>5</v>
      </c>
      <c r="U91">
        <v>257</v>
      </c>
      <c r="V91">
        <v>4</v>
      </c>
      <c r="X91">
        <v>1.2</v>
      </c>
      <c r="Y91">
        <v>0.15</v>
      </c>
      <c r="Z91">
        <v>459.86492785767041</v>
      </c>
      <c r="AA91">
        <v>294.31505487059809</v>
      </c>
      <c r="AD91" t="s">
        <v>189</v>
      </c>
      <c r="AE91" t="s">
        <v>189</v>
      </c>
      <c r="AG91">
        <v>1993.4589000000001</v>
      </c>
      <c r="AH91">
        <v>1993.4589000000001</v>
      </c>
      <c r="AI91">
        <v>292.66203743436199</v>
      </c>
      <c r="AJ91">
        <v>294.31505487059809</v>
      </c>
      <c r="AK91">
        <v>294.20950588669439</v>
      </c>
      <c r="AM91">
        <v>86.96428258419013</v>
      </c>
      <c r="AN91">
        <v>48.822330716689478</v>
      </c>
    </row>
    <row r="92" spans="2:40" x14ac:dyDescent="0.3">
      <c r="B92" t="s">
        <v>190</v>
      </c>
      <c r="C92" s="2">
        <v>45943</v>
      </c>
      <c r="D92" t="s">
        <v>38</v>
      </c>
      <c r="E92">
        <v>7</v>
      </c>
      <c r="G92">
        <v>114</v>
      </c>
      <c r="J92">
        <v>25.1</v>
      </c>
      <c r="K92">
        <v>169.35</v>
      </c>
      <c r="L92">
        <v>30</v>
      </c>
      <c r="M92">
        <v>0.10064399</v>
      </c>
      <c r="N92">
        <v>2294.8678300000001</v>
      </c>
      <c r="O92">
        <v>2248.3412574352619</v>
      </c>
      <c r="P92">
        <v>1860.638106826947</v>
      </c>
      <c r="Q92">
        <v>2170.180756087776</v>
      </c>
      <c r="R92">
        <v>2177.6605107824071</v>
      </c>
      <c r="S92">
        <f t="shared" si="1"/>
        <v>-7.4797546946310831</v>
      </c>
      <c r="T92">
        <v>10</v>
      </c>
      <c r="U92">
        <v>240</v>
      </c>
      <c r="V92">
        <v>4</v>
      </c>
      <c r="X92">
        <v>1.2</v>
      </c>
      <c r="Y92">
        <v>0.15</v>
      </c>
      <c r="Z92">
        <v>460.17113989799628</v>
      </c>
      <c r="AA92">
        <v>300.71361136489543</v>
      </c>
      <c r="AD92" t="s">
        <v>191</v>
      </c>
      <c r="AE92" t="s">
        <v>191</v>
      </c>
      <c r="AG92">
        <v>1896.9944</v>
      </c>
      <c r="AH92">
        <v>1896.9944</v>
      </c>
      <c r="AI92">
        <v>299.02378966557529</v>
      </c>
      <c r="AJ92">
        <v>300.71361136489543</v>
      </c>
      <c r="AK92">
        <v>300.60343197349152</v>
      </c>
      <c r="AM92">
        <v>82.75603628558693</v>
      </c>
      <c r="AN92">
        <v>48.822330716689478</v>
      </c>
    </row>
    <row r="93" spans="2:40" x14ac:dyDescent="0.3">
      <c r="B93" t="s">
        <v>192</v>
      </c>
      <c r="C93" s="2">
        <v>45943</v>
      </c>
      <c r="D93" t="s">
        <v>38</v>
      </c>
      <c r="E93">
        <v>8</v>
      </c>
      <c r="G93">
        <v>115</v>
      </c>
      <c r="J93">
        <v>25.1</v>
      </c>
      <c r="K93">
        <v>169.2</v>
      </c>
      <c r="L93">
        <v>30</v>
      </c>
      <c r="M93">
        <v>0.10064399</v>
      </c>
      <c r="N93">
        <v>2294.8678300000001</v>
      </c>
      <c r="O93">
        <v>2248.3412574352619</v>
      </c>
      <c r="P93">
        <v>1858.548438303626</v>
      </c>
      <c r="Q93">
        <v>2167.2432661556109</v>
      </c>
      <c r="R93">
        <v>2174.7025341865201</v>
      </c>
      <c r="S93">
        <f t="shared" si="1"/>
        <v>-7.459268030909243</v>
      </c>
      <c r="T93">
        <v>10</v>
      </c>
      <c r="U93">
        <v>243</v>
      </c>
      <c r="V93">
        <v>4</v>
      </c>
      <c r="X93">
        <v>1.2</v>
      </c>
      <c r="Y93">
        <v>0.15</v>
      </c>
      <c r="Z93">
        <v>459.98339446370733</v>
      </c>
      <c r="AA93">
        <v>297.34233419774961</v>
      </c>
      <c r="AD93" t="s">
        <v>193</v>
      </c>
      <c r="AE93" t="s">
        <v>193</v>
      </c>
      <c r="AG93">
        <v>1894.8639000000001</v>
      </c>
      <c r="AH93">
        <v>1894.8639000000001</v>
      </c>
      <c r="AI93">
        <v>295.67259582819469</v>
      </c>
      <c r="AJ93">
        <v>297.34233419774961</v>
      </c>
      <c r="AK93">
        <v>297.23693553938563</v>
      </c>
      <c r="AM93">
        <v>82.663093609896123</v>
      </c>
      <c r="AN93">
        <v>48.822330716689478</v>
      </c>
    </row>
    <row r="94" spans="2:40" x14ac:dyDescent="0.3">
      <c r="B94" t="s">
        <v>194</v>
      </c>
      <c r="C94" s="2">
        <v>45943</v>
      </c>
      <c r="D94" t="s">
        <v>38</v>
      </c>
      <c r="E94">
        <v>9</v>
      </c>
      <c r="J94">
        <v>25.2</v>
      </c>
      <c r="K94">
        <v>168.7</v>
      </c>
      <c r="L94">
        <v>30</v>
      </c>
      <c r="M94">
        <v>0.10064399</v>
      </c>
      <c r="N94">
        <v>2294.8678300000001</v>
      </c>
      <c r="O94">
        <v>2248.3412574352619</v>
      </c>
      <c r="S94">
        <f t="shared" si="1"/>
        <v>0</v>
      </c>
      <c r="T94">
        <v>30</v>
      </c>
      <c r="V94">
        <v>4</v>
      </c>
      <c r="X94">
        <v>1.2</v>
      </c>
      <c r="Y94">
        <v>0.15</v>
      </c>
      <c r="Z94">
        <v>460.11765364529771</v>
      </c>
      <c r="AA94">
        <v>300.97098247515521</v>
      </c>
      <c r="AI94">
        <v>299.28033330054728</v>
      </c>
      <c r="AJ94">
        <v>300.97098247515521</v>
      </c>
      <c r="AK94">
        <v>300.86297338954807</v>
      </c>
    </row>
    <row r="95" spans="2:40" x14ac:dyDescent="0.3">
      <c r="B95" t="s">
        <v>195</v>
      </c>
      <c r="C95" s="2">
        <v>45943</v>
      </c>
      <c r="D95" t="s">
        <v>38</v>
      </c>
      <c r="E95">
        <v>10</v>
      </c>
      <c r="J95">
        <v>25.2</v>
      </c>
      <c r="K95">
        <v>168.35</v>
      </c>
      <c r="L95">
        <v>30</v>
      </c>
      <c r="M95">
        <v>0.10064399</v>
      </c>
      <c r="N95">
        <v>2294.8678300000001</v>
      </c>
      <c r="O95">
        <v>2248.3412574352619</v>
      </c>
      <c r="S95">
        <f t="shared" si="1"/>
        <v>0</v>
      </c>
      <c r="V95">
        <v>4</v>
      </c>
      <c r="X95">
        <v>1.2</v>
      </c>
      <c r="Y95">
        <v>0.15</v>
      </c>
      <c r="Z95">
        <v>459.97330253930483</v>
      </c>
      <c r="AA95">
        <v>300.94720688391078</v>
      </c>
      <c r="AI95">
        <v>299.2571841808026</v>
      </c>
      <c r="AJ95">
        <v>300.94720688391078</v>
      </c>
      <c r="AK95">
        <v>300.84085334257338</v>
      </c>
    </row>
    <row r="96" spans="2:40" x14ac:dyDescent="0.3">
      <c r="B96" t="s">
        <v>196</v>
      </c>
      <c r="C96" s="2">
        <v>45944</v>
      </c>
      <c r="D96" t="s">
        <v>38</v>
      </c>
      <c r="E96">
        <v>1</v>
      </c>
      <c r="J96">
        <v>25.1</v>
      </c>
      <c r="K96">
        <v>167.35</v>
      </c>
      <c r="L96">
        <v>30</v>
      </c>
      <c r="M96">
        <v>0.10064399</v>
      </c>
      <c r="N96">
        <v>2263.3636799999999</v>
      </c>
      <c r="O96">
        <v>2217.4758283680771</v>
      </c>
      <c r="S96">
        <f t="shared" si="1"/>
        <v>0</v>
      </c>
      <c r="V96">
        <v>4</v>
      </c>
      <c r="X96">
        <v>4.2</v>
      </c>
      <c r="Y96">
        <v>0.15</v>
      </c>
      <c r="Z96">
        <v>632.02699247442877</v>
      </c>
      <c r="AA96">
        <v>2314.135681464451</v>
      </c>
      <c r="AI96">
        <v>2298.7373831420359</v>
      </c>
      <c r="AJ96">
        <v>2314.135681464451</v>
      </c>
      <c r="AK96">
        <v>2307.0350900057229</v>
      </c>
    </row>
    <row r="97" spans="2:40" x14ac:dyDescent="0.3">
      <c r="B97" t="s">
        <v>197</v>
      </c>
      <c r="C97" s="2">
        <v>45944</v>
      </c>
      <c r="D97" t="s">
        <v>38</v>
      </c>
      <c r="E97">
        <v>2</v>
      </c>
      <c r="J97">
        <v>25.1</v>
      </c>
      <c r="K97">
        <v>166.85</v>
      </c>
      <c r="L97">
        <v>30</v>
      </c>
      <c r="M97">
        <v>0.10064399</v>
      </c>
      <c r="N97">
        <v>2263.3636799999999</v>
      </c>
      <c r="O97">
        <v>2217.4758283680771</v>
      </c>
      <c r="S97">
        <f t="shared" si="1"/>
        <v>0</v>
      </c>
      <c r="V97">
        <v>4</v>
      </c>
      <c r="W97">
        <v>1</v>
      </c>
      <c r="X97">
        <v>4.2</v>
      </c>
      <c r="Y97">
        <v>0.15</v>
      </c>
      <c r="Z97">
        <v>632.03085472873715</v>
      </c>
      <c r="AA97">
        <v>2316.4680589204931</v>
      </c>
      <c r="AB97">
        <v>2316.3040000000001</v>
      </c>
      <c r="AC97">
        <v>0.23200000000000001</v>
      </c>
      <c r="AI97">
        <v>2301.1419617965348</v>
      </c>
      <c r="AJ97">
        <v>2316.4680589204931</v>
      </c>
      <c r="AK97">
        <v>2309.449950847591</v>
      </c>
    </row>
    <row r="98" spans="2:40" x14ac:dyDescent="0.3">
      <c r="B98" t="s">
        <v>198</v>
      </c>
      <c r="C98" s="2">
        <v>45944</v>
      </c>
      <c r="D98" t="s">
        <v>38</v>
      </c>
      <c r="E98">
        <v>3</v>
      </c>
      <c r="J98">
        <v>25.2</v>
      </c>
      <c r="K98">
        <v>166.5</v>
      </c>
      <c r="L98">
        <v>30</v>
      </c>
      <c r="M98">
        <v>0.10064399</v>
      </c>
      <c r="N98">
        <v>2263.3636799999999</v>
      </c>
      <c r="O98">
        <v>2217.4758283680771</v>
      </c>
      <c r="S98">
        <f t="shared" si="1"/>
        <v>0</v>
      </c>
      <c r="V98">
        <v>4</v>
      </c>
      <c r="W98">
        <v>1</v>
      </c>
      <c r="X98">
        <v>4.2</v>
      </c>
      <c r="Y98">
        <v>0.15</v>
      </c>
      <c r="Z98">
        <v>632.04017959087957</v>
      </c>
      <c r="AA98">
        <v>2316.1402802678708</v>
      </c>
      <c r="AB98">
        <v>2316.3040000000001</v>
      </c>
      <c r="AC98">
        <v>0.23200000000000001</v>
      </c>
      <c r="AI98">
        <v>2301.4786329464928</v>
      </c>
      <c r="AJ98">
        <v>2316.1402802678708</v>
      </c>
      <c r="AK98">
        <v>2309.7900355068768</v>
      </c>
    </row>
    <row r="99" spans="2:40" x14ac:dyDescent="0.3">
      <c r="B99" t="s">
        <v>199</v>
      </c>
      <c r="C99" s="2">
        <v>45944</v>
      </c>
      <c r="D99" t="s">
        <v>200</v>
      </c>
      <c r="E99">
        <v>4</v>
      </c>
      <c r="H99" t="s">
        <v>201</v>
      </c>
      <c r="I99" t="s">
        <v>40</v>
      </c>
      <c r="J99">
        <v>25.2</v>
      </c>
      <c r="K99">
        <v>178.7</v>
      </c>
      <c r="L99">
        <v>30</v>
      </c>
      <c r="M99">
        <v>0.10064399</v>
      </c>
      <c r="N99">
        <v>2300</v>
      </c>
      <c r="O99">
        <v>2253.3693768765329</v>
      </c>
      <c r="S99">
        <f t="shared" si="1"/>
        <v>0</v>
      </c>
      <c r="V99">
        <v>4</v>
      </c>
      <c r="X99">
        <v>4.2</v>
      </c>
      <c r="Y99">
        <v>0.15</v>
      </c>
      <c r="Z99">
        <v>645.25219589659457</v>
      </c>
      <c r="AA99">
        <v>1403.3767752161309</v>
      </c>
      <c r="AI99">
        <v>1382.5925945737699</v>
      </c>
      <c r="AJ99">
        <v>1391.484033619721</v>
      </c>
      <c r="AK99">
        <v>1387.38687975381</v>
      </c>
    </row>
    <row r="100" spans="2:40" x14ac:dyDescent="0.3">
      <c r="B100" t="s">
        <v>202</v>
      </c>
      <c r="C100" s="2">
        <v>45944</v>
      </c>
      <c r="D100" t="s">
        <v>203</v>
      </c>
      <c r="E100">
        <v>5</v>
      </c>
      <c r="J100">
        <v>25.2</v>
      </c>
      <c r="K100">
        <v>166.15</v>
      </c>
      <c r="L100">
        <v>32.71</v>
      </c>
      <c r="M100">
        <v>0.10064399</v>
      </c>
      <c r="N100">
        <v>2068.5364</v>
      </c>
      <c r="O100">
        <v>2022.518181689424</v>
      </c>
      <c r="S100">
        <f t="shared" si="1"/>
        <v>0</v>
      </c>
      <c r="V100">
        <v>4</v>
      </c>
      <c r="X100">
        <v>4.2</v>
      </c>
      <c r="Y100">
        <v>0.15</v>
      </c>
      <c r="Z100">
        <v>632.9737550244846</v>
      </c>
      <c r="AA100">
        <v>2146.9499383584921</v>
      </c>
      <c r="AI100">
        <v>2139.7038080511352</v>
      </c>
      <c r="AJ100">
        <v>2153.247600633777</v>
      </c>
      <c r="AK100">
        <v>2146.5698894299362</v>
      </c>
    </row>
    <row r="101" spans="2:40" x14ac:dyDescent="0.3">
      <c r="B101" t="s">
        <v>204</v>
      </c>
      <c r="C101" s="2">
        <v>45945</v>
      </c>
      <c r="D101" t="s">
        <v>38</v>
      </c>
      <c r="E101">
        <v>6</v>
      </c>
      <c r="J101">
        <v>25.2</v>
      </c>
      <c r="K101">
        <v>166</v>
      </c>
      <c r="L101">
        <v>30</v>
      </c>
      <c r="M101">
        <v>0.10064399</v>
      </c>
      <c r="N101">
        <v>2272.4258</v>
      </c>
      <c r="O101">
        <v>2226.354221280068</v>
      </c>
      <c r="S101">
        <f t="shared" si="1"/>
        <v>0</v>
      </c>
      <c r="V101">
        <v>4</v>
      </c>
      <c r="X101">
        <v>4.2</v>
      </c>
      <c r="Y101">
        <v>0.15</v>
      </c>
      <c r="Z101">
        <v>635.1015671443671</v>
      </c>
      <c r="AA101">
        <v>2060.072410698469</v>
      </c>
      <c r="AI101">
        <v>2047.066767164667</v>
      </c>
      <c r="AJ101">
        <v>2060.072410698469</v>
      </c>
      <c r="AK101">
        <v>2054.544204416391</v>
      </c>
    </row>
    <row r="102" spans="2:40" x14ac:dyDescent="0.3">
      <c r="B102" t="s">
        <v>205</v>
      </c>
      <c r="C102" s="2">
        <v>45945</v>
      </c>
      <c r="D102" t="s">
        <v>38</v>
      </c>
      <c r="E102">
        <v>1</v>
      </c>
      <c r="G102">
        <v>129</v>
      </c>
      <c r="J102">
        <v>25.1</v>
      </c>
      <c r="K102">
        <v>169.95</v>
      </c>
      <c r="L102">
        <v>30</v>
      </c>
      <c r="M102">
        <v>0.10064399</v>
      </c>
      <c r="N102">
        <v>2272.4258</v>
      </c>
      <c r="O102">
        <v>2226.354221280068</v>
      </c>
      <c r="P102">
        <v>1659.191118674499</v>
      </c>
      <c r="Q102">
        <v>1763.0486226437249</v>
      </c>
      <c r="R102">
        <v>1765.235103337857</v>
      </c>
      <c r="S102">
        <f t="shared" si="1"/>
        <v>-2.1864806941321149</v>
      </c>
      <c r="T102">
        <v>0.5</v>
      </c>
      <c r="V102">
        <v>4</v>
      </c>
      <c r="W102">
        <v>1</v>
      </c>
      <c r="X102">
        <v>4.2</v>
      </c>
      <c r="Y102">
        <v>0.15</v>
      </c>
      <c r="Z102">
        <v>632.32835161606886</v>
      </c>
      <c r="AA102">
        <v>2320.0405263557768</v>
      </c>
      <c r="AB102">
        <v>2320.0410000000002</v>
      </c>
      <c r="AD102" t="s">
        <v>206</v>
      </c>
      <c r="AE102" t="s">
        <v>206</v>
      </c>
      <c r="AG102">
        <v>1691.6112000000001</v>
      </c>
      <c r="AH102">
        <v>1691.6112000000001</v>
      </c>
      <c r="AI102">
        <v>2305.3552333182652</v>
      </c>
      <c r="AJ102">
        <v>2320.0405263557768</v>
      </c>
      <c r="AK102">
        <v>2313.682748821645</v>
      </c>
      <c r="AM102">
        <v>74.525028533892865</v>
      </c>
      <c r="AN102">
        <v>0.67181941596969519</v>
      </c>
    </row>
    <row r="103" spans="2:40" x14ac:dyDescent="0.3">
      <c r="B103" t="s">
        <v>207</v>
      </c>
      <c r="C103" s="2">
        <v>45945</v>
      </c>
      <c r="D103" t="s">
        <v>38</v>
      </c>
      <c r="E103">
        <v>2</v>
      </c>
      <c r="G103">
        <v>130</v>
      </c>
      <c r="J103">
        <v>25</v>
      </c>
      <c r="K103">
        <v>169.45</v>
      </c>
      <c r="L103">
        <v>30</v>
      </c>
      <c r="M103">
        <v>0.10064399</v>
      </c>
      <c r="N103">
        <v>2272.4258</v>
      </c>
      <c r="O103">
        <v>2226.354221280068</v>
      </c>
      <c r="P103">
        <v>2064.013358805114</v>
      </c>
      <c r="Q103">
        <v>2110.2873260929532</v>
      </c>
      <c r="R103">
        <v>2111.25430267096</v>
      </c>
      <c r="S103">
        <f t="shared" si="1"/>
        <v>-0.96697657800677916</v>
      </c>
      <c r="T103">
        <v>0</v>
      </c>
      <c r="V103">
        <v>4</v>
      </c>
      <c r="X103">
        <v>1.2</v>
      </c>
      <c r="Y103">
        <v>0.15</v>
      </c>
      <c r="Z103">
        <v>463.04238000843287</v>
      </c>
      <c r="AA103">
        <v>307.36395577387952</v>
      </c>
      <c r="AD103" t="s">
        <v>208</v>
      </c>
      <c r="AE103" t="s">
        <v>208</v>
      </c>
      <c r="AG103">
        <v>2104.4050000000002</v>
      </c>
      <c r="AH103">
        <v>2104.4050000000002</v>
      </c>
      <c r="AI103">
        <v>305.63354602111337</v>
      </c>
      <c r="AJ103">
        <v>307.36395577387952</v>
      </c>
      <c r="AK103">
        <v>307.24095968659412</v>
      </c>
      <c r="AM103">
        <v>92.708219522156071</v>
      </c>
      <c r="AN103">
        <v>49.089252971115151</v>
      </c>
    </row>
    <row r="104" spans="2:40" x14ac:dyDescent="0.3">
      <c r="B104" t="s">
        <v>209</v>
      </c>
      <c r="C104" s="2">
        <v>45945</v>
      </c>
      <c r="D104" t="s">
        <v>38</v>
      </c>
      <c r="E104">
        <v>3</v>
      </c>
      <c r="G104">
        <v>131</v>
      </c>
      <c r="J104">
        <v>24.9</v>
      </c>
      <c r="K104">
        <v>169.45</v>
      </c>
      <c r="L104">
        <v>30</v>
      </c>
      <c r="M104">
        <v>0.10064399</v>
      </c>
      <c r="N104">
        <v>2272.4258</v>
      </c>
      <c r="O104">
        <v>2226.354221280068</v>
      </c>
      <c r="P104">
        <v>2018.2685254714979</v>
      </c>
      <c r="Q104">
        <v>2121.0763656656131</v>
      </c>
      <c r="R104">
        <v>2123.289321517093</v>
      </c>
      <c r="S104">
        <f t="shared" si="1"/>
        <v>-2.2129558514798191</v>
      </c>
      <c r="T104">
        <v>2</v>
      </c>
      <c r="V104">
        <v>4</v>
      </c>
      <c r="X104">
        <v>1.2</v>
      </c>
      <c r="Y104">
        <v>0.15</v>
      </c>
      <c r="Z104">
        <v>462.83541442789982</v>
      </c>
      <c r="AA104">
        <v>309.32625876685938</v>
      </c>
      <c r="AD104" t="s">
        <v>210</v>
      </c>
      <c r="AE104" t="s">
        <v>210</v>
      </c>
      <c r="AG104">
        <v>2057.8249000000001</v>
      </c>
      <c r="AH104">
        <v>2057.8249000000001</v>
      </c>
      <c r="AI104">
        <v>307.58464690745609</v>
      </c>
      <c r="AJ104">
        <v>309.32625876685938</v>
      </c>
      <c r="AK104">
        <v>309.20195186858962</v>
      </c>
      <c r="AM104">
        <v>90.653522524868976</v>
      </c>
      <c r="AN104">
        <v>49.089252971115151</v>
      </c>
    </row>
    <row r="105" spans="2:40" x14ac:dyDescent="0.3">
      <c r="B105" t="s">
        <v>211</v>
      </c>
      <c r="C105" s="2">
        <v>45945</v>
      </c>
      <c r="D105" t="s">
        <v>38</v>
      </c>
      <c r="E105">
        <v>4</v>
      </c>
      <c r="G105">
        <v>132</v>
      </c>
      <c r="J105">
        <v>25</v>
      </c>
      <c r="K105">
        <v>169.15</v>
      </c>
      <c r="L105">
        <v>30</v>
      </c>
      <c r="M105">
        <v>0.10064399</v>
      </c>
      <c r="N105">
        <v>2272.4258</v>
      </c>
      <c r="O105">
        <v>2226.354221280068</v>
      </c>
      <c r="P105">
        <v>2036.1965195219229</v>
      </c>
      <c r="Q105">
        <v>2140.9961495842408</v>
      </c>
      <c r="R105">
        <v>2143.25197904376</v>
      </c>
      <c r="S105">
        <f t="shared" si="1"/>
        <v>-2.255829459519191</v>
      </c>
      <c r="T105">
        <v>2</v>
      </c>
      <c r="V105">
        <v>4</v>
      </c>
      <c r="X105">
        <v>1.2</v>
      </c>
      <c r="Y105">
        <v>0.15</v>
      </c>
      <c r="Z105">
        <v>460.41378372595631</v>
      </c>
      <c r="AA105">
        <v>299.40113885620968</v>
      </c>
      <c r="AD105" t="s">
        <v>212</v>
      </c>
      <c r="AE105" t="s">
        <v>212</v>
      </c>
      <c r="AG105">
        <v>2076.0437999999999</v>
      </c>
      <c r="AH105">
        <v>2076.0437999999999</v>
      </c>
      <c r="AI105">
        <v>297.71739447705829</v>
      </c>
      <c r="AJ105">
        <v>299.40113885620968</v>
      </c>
      <c r="AK105">
        <v>299.28684592514378</v>
      </c>
      <c r="AM105">
        <v>91.45878495252154</v>
      </c>
      <c r="AN105">
        <v>49.089252971115151</v>
      </c>
    </row>
    <row r="106" spans="2:40" x14ac:dyDescent="0.3">
      <c r="B106" t="s">
        <v>213</v>
      </c>
      <c r="C106" s="2">
        <v>45945</v>
      </c>
      <c r="D106" t="s">
        <v>38</v>
      </c>
      <c r="E106">
        <v>5</v>
      </c>
      <c r="G106">
        <v>133</v>
      </c>
      <c r="J106">
        <v>25.1</v>
      </c>
      <c r="K106">
        <v>169.15</v>
      </c>
      <c r="L106">
        <v>30</v>
      </c>
      <c r="M106">
        <v>0.10064399</v>
      </c>
      <c r="N106">
        <v>2272.4258</v>
      </c>
      <c r="O106">
        <v>2226.354221280068</v>
      </c>
      <c r="P106">
        <v>1956.3486523672229</v>
      </c>
      <c r="Q106">
        <v>2140.738026049884</v>
      </c>
      <c r="R106">
        <v>2144.885168877634</v>
      </c>
      <c r="S106">
        <f t="shared" si="1"/>
        <v>-4.1471428277500308</v>
      </c>
      <c r="T106">
        <v>5</v>
      </c>
      <c r="V106">
        <v>4</v>
      </c>
      <c r="X106">
        <v>1.2</v>
      </c>
      <c r="Y106">
        <v>0.15</v>
      </c>
      <c r="Z106">
        <v>460.66282158405141</v>
      </c>
      <c r="AA106">
        <v>303.05118408381338</v>
      </c>
      <c r="AD106" t="s">
        <v>214</v>
      </c>
      <c r="AE106" t="s">
        <v>214</v>
      </c>
      <c r="AG106">
        <v>1994.5751</v>
      </c>
      <c r="AH106">
        <v>1994.5751</v>
      </c>
      <c r="AI106">
        <v>301.3464839846107</v>
      </c>
      <c r="AJ106">
        <v>303.05118408381338</v>
      </c>
      <c r="AK106">
        <v>302.93454292947479</v>
      </c>
      <c r="AM106">
        <v>87.87229963982989</v>
      </c>
      <c r="AN106">
        <v>49.089252971115151</v>
      </c>
    </row>
    <row r="107" spans="2:40" x14ac:dyDescent="0.3">
      <c r="B107" t="s">
        <v>215</v>
      </c>
      <c r="C107" s="2">
        <v>45945</v>
      </c>
      <c r="D107" t="s">
        <v>38</v>
      </c>
      <c r="E107">
        <v>6</v>
      </c>
      <c r="G107">
        <v>135</v>
      </c>
      <c r="J107">
        <v>25.1</v>
      </c>
      <c r="K107">
        <v>169.05</v>
      </c>
      <c r="L107">
        <v>30</v>
      </c>
      <c r="M107">
        <v>0.10064399</v>
      </c>
      <c r="N107">
        <v>2272.4258</v>
      </c>
      <c r="O107">
        <v>2226.354221280068</v>
      </c>
      <c r="P107">
        <v>1199.187251965875</v>
      </c>
      <c r="Q107">
        <v>2262.8189410786222</v>
      </c>
      <c r="R107">
        <v>2321.5112156428572</v>
      </c>
      <c r="S107">
        <f t="shared" si="1"/>
        <v>-58.692274564235049</v>
      </c>
      <c r="T107">
        <v>80</v>
      </c>
      <c r="V107">
        <v>4</v>
      </c>
      <c r="X107">
        <v>1.2</v>
      </c>
      <c r="Y107">
        <v>0.15</v>
      </c>
      <c r="Z107">
        <v>460.43361354087261</v>
      </c>
      <c r="AA107">
        <v>299.44359215769771</v>
      </c>
      <c r="AD107" t="s">
        <v>216</v>
      </c>
      <c r="AE107" t="s">
        <v>216</v>
      </c>
      <c r="AG107">
        <v>1222.6189999999999</v>
      </c>
      <c r="AH107">
        <v>1222.6189999999999</v>
      </c>
      <c r="AI107">
        <v>297.75997443712708</v>
      </c>
      <c r="AJ107">
        <v>299.44359215769771</v>
      </c>
      <c r="AK107">
        <v>299.33072808971269</v>
      </c>
      <c r="AM107">
        <v>53.863272991500359</v>
      </c>
      <c r="AN107">
        <v>49.089252971115151</v>
      </c>
    </row>
    <row r="108" spans="2:40" x14ac:dyDescent="0.3">
      <c r="B108" t="s">
        <v>217</v>
      </c>
      <c r="C108" s="2">
        <v>45945</v>
      </c>
      <c r="D108" t="s">
        <v>38</v>
      </c>
      <c r="E108">
        <v>7</v>
      </c>
      <c r="G108">
        <v>137</v>
      </c>
      <c r="J108">
        <v>25.2</v>
      </c>
      <c r="K108">
        <v>168.4</v>
      </c>
      <c r="L108">
        <v>30</v>
      </c>
      <c r="M108">
        <v>0.10064399</v>
      </c>
      <c r="N108">
        <v>2272.4258</v>
      </c>
      <c r="O108">
        <v>2226.354221280068</v>
      </c>
      <c r="P108">
        <v>1657.2997554756939</v>
      </c>
      <c r="Q108">
        <v>2157.4550962802318</v>
      </c>
      <c r="R108">
        <v>2171.3307270806658</v>
      </c>
      <c r="S108">
        <f t="shared" si="1"/>
        <v>-13.87563080043401</v>
      </c>
      <c r="T108">
        <v>20</v>
      </c>
      <c r="V108">
        <v>4</v>
      </c>
      <c r="X108">
        <v>1.2</v>
      </c>
      <c r="Y108">
        <v>0.15</v>
      </c>
      <c r="Z108">
        <v>460.30020489990409</v>
      </c>
      <c r="AA108">
        <v>304.42778490297718</v>
      </c>
      <c r="AD108" t="s">
        <v>218</v>
      </c>
      <c r="AE108" t="s">
        <v>218</v>
      </c>
      <c r="AG108">
        <v>1689.6333999999999</v>
      </c>
      <c r="AH108">
        <v>1689.6333999999999</v>
      </c>
      <c r="AI108">
        <v>302.71636969140542</v>
      </c>
      <c r="AJ108">
        <v>304.42778490297718</v>
      </c>
      <c r="AK108">
        <v>304.31433105291609</v>
      </c>
      <c r="AM108">
        <v>74.440075152228488</v>
      </c>
      <c r="AN108">
        <v>49.089252971115151</v>
      </c>
    </row>
    <row r="109" spans="2:40" x14ac:dyDescent="0.3">
      <c r="B109" t="s">
        <v>219</v>
      </c>
      <c r="C109" s="2">
        <v>45945</v>
      </c>
      <c r="D109" t="s">
        <v>38</v>
      </c>
      <c r="E109">
        <v>8</v>
      </c>
      <c r="G109">
        <v>139</v>
      </c>
      <c r="J109">
        <v>25.2</v>
      </c>
      <c r="K109">
        <v>168.3</v>
      </c>
      <c r="L109">
        <v>30</v>
      </c>
      <c r="M109">
        <v>0.10064399</v>
      </c>
      <c r="N109">
        <v>2272.4258</v>
      </c>
      <c r="O109">
        <v>2226.354221280068</v>
      </c>
      <c r="P109">
        <v>1342.003728883004</v>
      </c>
      <c r="Q109">
        <v>2227.9333775045179</v>
      </c>
      <c r="R109">
        <v>2263.6119176511711</v>
      </c>
      <c r="S109">
        <f t="shared" si="1"/>
        <v>-35.678540146653177</v>
      </c>
      <c r="T109">
        <v>50</v>
      </c>
      <c r="V109">
        <v>4</v>
      </c>
      <c r="X109">
        <v>1.2</v>
      </c>
      <c r="Y109">
        <v>0.15</v>
      </c>
      <c r="Z109">
        <v>460.52434000709769</v>
      </c>
      <c r="AA109">
        <v>303.26897337565009</v>
      </c>
      <c r="AD109" t="s">
        <v>220</v>
      </c>
      <c r="AE109" t="s">
        <v>220</v>
      </c>
      <c r="AG109">
        <v>1368.1859999999999</v>
      </c>
      <c r="AH109">
        <v>1368.1859999999999</v>
      </c>
      <c r="AI109">
        <v>301.56417555676512</v>
      </c>
      <c r="AJ109">
        <v>303.26897337565009</v>
      </c>
      <c r="AK109">
        <v>303.15621931045501</v>
      </c>
      <c r="AM109">
        <v>60.278086750786827</v>
      </c>
      <c r="AN109">
        <v>49.089252971115151</v>
      </c>
    </row>
    <row r="110" spans="2:40" x14ac:dyDescent="0.3">
      <c r="B110" t="s">
        <v>221</v>
      </c>
      <c r="C110" s="2">
        <v>45945</v>
      </c>
      <c r="D110" t="s">
        <v>38</v>
      </c>
      <c r="E110">
        <v>9</v>
      </c>
      <c r="G110">
        <v>140</v>
      </c>
      <c r="J110">
        <v>25.2</v>
      </c>
      <c r="K110">
        <v>168.1</v>
      </c>
      <c r="L110">
        <v>30</v>
      </c>
      <c r="M110">
        <v>0.10064399</v>
      </c>
      <c r="N110">
        <v>2272.4258</v>
      </c>
      <c r="O110">
        <v>2226.354221280068</v>
      </c>
      <c r="P110">
        <v>1376.1412122209269</v>
      </c>
      <c r="Q110">
        <v>2207.050096666389</v>
      </c>
      <c r="R110">
        <v>2238.6298446982528</v>
      </c>
      <c r="S110">
        <f t="shared" si="1"/>
        <v>-31.579748031863801</v>
      </c>
      <c r="T110">
        <v>45</v>
      </c>
      <c r="V110">
        <v>4</v>
      </c>
      <c r="X110">
        <v>1.2</v>
      </c>
      <c r="Y110">
        <v>0.15</v>
      </c>
      <c r="Z110">
        <v>460.20220644799588</v>
      </c>
      <c r="AA110">
        <v>301.11603914636612</v>
      </c>
      <c r="AD110" t="s">
        <v>222</v>
      </c>
      <c r="AE110" t="s">
        <v>222</v>
      </c>
      <c r="AG110">
        <v>1402.9894999999999</v>
      </c>
      <c r="AH110">
        <v>1402.9894999999999</v>
      </c>
      <c r="AI110">
        <v>299.42355248421671</v>
      </c>
      <c r="AJ110">
        <v>301.11603914636612</v>
      </c>
      <c r="AK110">
        <v>301.00460731284147</v>
      </c>
      <c r="AM110">
        <v>61.811422417305117</v>
      </c>
      <c r="AN110">
        <v>49.089252971115151</v>
      </c>
    </row>
    <row r="111" spans="2:40" x14ac:dyDescent="0.3">
      <c r="B111" t="s">
        <v>223</v>
      </c>
      <c r="C111" s="2">
        <v>45945</v>
      </c>
      <c r="D111" t="s">
        <v>38</v>
      </c>
      <c r="E111">
        <v>10</v>
      </c>
      <c r="G111">
        <v>141</v>
      </c>
      <c r="J111">
        <v>25.2</v>
      </c>
      <c r="K111">
        <v>167.95</v>
      </c>
      <c r="L111">
        <v>30</v>
      </c>
      <c r="M111">
        <v>0.10064399</v>
      </c>
      <c r="N111">
        <v>2272.4258</v>
      </c>
      <c r="O111">
        <v>2226.354221280068</v>
      </c>
      <c r="P111">
        <v>1842.654907079527</v>
      </c>
      <c r="Q111">
        <v>2146.8455950201478</v>
      </c>
      <c r="R111">
        <v>2154.1960255072559</v>
      </c>
      <c r="S111">
        <f t="shared" si="1"/>
        <v>-7.3504304871080421</v>
      </c>
      <c r="T111">
        <v>10</v>
      </c>
      <c r="V111">
        <v>4</v>
      </c>
      <c r="X111">
        <v>1.2</v>
      </c>
      <c r="Y111">
        <v>0.15</v>
      </c>
      <c r="Z111">
        <v>460.20627305021441</v>
      </c>
      <c r="AA111">
        <v>302.64615983837922</v>
      </c>
      <c r="AD111" t="s">
        <v>224</v>
      </c>
      <c r="AE111" t="s">
        <v>224</v>
      </c>
      <c r="AG111">
        <v>1878.6048000000001</v>
      </c>
      <c r="AH111">
        <v>1878.6048000000001</v>
      </c>
      <c r="AI111">
        <v>300.94513463881611</v>
      </c>
      <c r="AJ111">
        <v>302.64615983837922</v>
      </c>
      <c r="AK111">
        <v>302.53449355671643</v>
      </c>
      <c r="AM111">
        <v>82.765576540649107</v>
      </c>
      <c r="AN111">
        <v>49.089252971115151</v>
      </c>
    </row>
    <row r="112" spans="2:40" x14ac:dyDescent="0.3">
      <c r="B112" t="s">
        <v>225</v>
      </c>
      <c r="C112" s="2">
        <v>45946</v>
      </c>
      <c r="D112" t="s">
        <v>38</v>
      </c>
      <c r="E112">
        <v>11</v>
      </c>
      <c r="J112">
        <v>25.2</v>
      </c>
      <c r="K112">
        <v>168.75</v>
      </c>
      <c r="L112">
        <v>30</v>
      </c>
      <c r="M112">
        <v>0.10064399</v>
      </c>
      <c r="N112">
        <v>2271.12</v>
      </c>
      <c r="O112">
        <v>2225.0748953094921</v>
      </c>
      <c r="S112">
        <f t="shared" si="1"/>
        <v>0</v>
      </c>
      <c r="V112">
        <v>4</v>
      </c>
      <c r="W112">
        <v>1</v>
      </c>
      <c r="X112">
        <v>4.2</v>
      </c>
      <c r="Y112">
        <v>0.15</v>
      </c>
      <c r="Z112">
        <v>632.30350238587232</v>
      </c>
      <c r="AA112">
        <v>2325.9495919645492</v>
      </c>
      <c r="AB112">
        <v>2324.64</v>
      </c>
      <c r="AC112">
        <v>1.851</v>
      </c>
      <c r="AI112">
        <v>2311.2286213993252</v>
      </c>
      <c r="AJ112">
        <v>2325.9495919645492</v>
      </c>
      <c r="AK112">
        <v>2319.583388603342</v>
      </c>
    </row>
    <row r="113" spans="2:40" x14ac:dyDescent="0.3">
      <c r="B113" t="s">
        <v>226</v>
      </c>
      <c r="C113" s="2">
        <v>45946</v>
      </c>
      <c r="D113" t="s">
        <v>38</v>
      </c>
      <c r="E113">
        <v>1</v>
      </c>
      <c r="J113">
        <v>25</v>
      </c>
      <c r="K113">
        <v>170</v>
      </c>
      <c r="L113">
        <v>30</v>
      </c>
      <c r="M113">
        <v>0.10064399</v>
      </c>
      <c r="N113">
        <v>2271.12</v>
      </c>
      <c r="O113">
        <v>2225.0748953094921</v>
      </c>
      <c r="S113">
        <f t="shared" si="1"/>
        <v>0</v>
      </c>
      <c r="V113">
        <v>4</v>
      </c>
      <c r="W113">
        <v>1</v>
      </c>
      <c r="X113">
        <v>4.2</v>
      </c>
      <c r="Y113">
        <v>0.15</v>
      </c>
      <c r="Z113">
        <v>632.14242303386709</v>
      </c>
      <c r="AA113">
        <v>2323.3312160271889</v>
      </c>
      <c r="AB113">
        <v>2324.64</v>
      </c>
      <c r="AC113">
        <v>1.851</v>
      </c>
      <c r="AI113">
        <v>2308.6255485384522</v>
      </c>
      <c r="AJ113">
        <v>2323.3312160271889</v>
      </c>
      <c r="AK113">
        <v>2316.9656953023041</v>
      </c>
    </row>
    <row r="114" spans="2:40" x14ac:dyDescent="0.3">
      <c r="B114" t="s">
        <v>227</v>
      </c>
      <c r="C114" s="2">
        <v>45946</v>
      </c>
      <c r="D114" t="s">
        <v>38</v>
      </c>
      <c r="E114">
        <v>2</v>
      </c>
      <c r="G114">
        <v>145</v>
      </c>
      <c r="I114" t="s">
        <v>40</v>
      </c>
      <c r="J114">
        <v>25</v>
      </c>
      <c r="K114">
        <v>168.4</v>
      </c>
      <c r="L114">
        <v>30</v>
      </c>
      <c r="M114">
        <v>0.10064399</v>
      </c>
      <c r="N114">
        <v>2271.12</v>
      </c>
      <c r="O114">
        <v>2225.0748953094921</v>
      </c>
      <c r="P114">
        <v>2158.5445340951992</v>
      </c>
      <c r="Q114">
        <v>2182.0897859422521</v>
      </c>
      <c r="R114">
        <v>2182.5818057191109</v>
      </c>
      <c r="S114">
        <f t="shared" si="1"/>
        <v>-0.49201977685879683</v>
      </c>
      <c r="T114">
        <v>0</v>
      </c>
      <c r="V114">
        <v>4</v>
      </c>
      <c r="X114">
        <v>0.6</v>
      </c>
      <c r="Y114">
        <v>0.15</v>
      </c>
      <c r="Z114">
        <v>447.52390100388021</v>
      </c>
      <c r="AA114">
        <v>147.30060530725871</v>
      </c>
      <c r="AD114" t="s">
        <v>228</v>
      </c>
      <c r="AE114" t="s">
        <v>228</v>
      </c>
      <c r="AG114">
        <v>2200.7860999999998</v>
      </c>
      <c r="AH114">
        <v>2200.7860999999998</v>
      </c>
      <c r="AI114">
        <v>146.73119785085169</v>
      </c>
      <c r="AJ114">
        <v>147.30060530725871</v>
      </c>
      <c r="AK114">
        <v>148.11576613974989</v>
      </c>
      <c r="AM114">
        <v>97.009972052871547</v>
      </c>
      <c r="AN114">
        <v>74.802884424192726</v>
      </c>
    </row>
    <row r="115" spans="2:40" x14ac:dyDescent="0.3">
      <c r="B115" t="s">
        <v>229</v>
      </c>
      <c r="C115" s="2">
        <v>45946</v>
      </c>
      <c r="D115" t="s">
        <v>38</v>
      </c>
      <c r="E115">
        <v>3</v>
      </c>
      <c r="G115">
        <v>146</v>
      </c>
      <c r="J115">
        <v>25</v>
      </c>
      <c r="K115">
        <v>168.45</v>
      </c>
      <c r="L115">
        <v>30</v>
      </c>
      <c r="M115">
        <v>0.10064399</v>
      </c>
      <c r="N115">
        <v>2271.12</v>
      </c>
      <c r="O115">
        <v>2225.0748953094921</v>
      </c>
      <c r="P115">
        <v>2076.0793341004378</v>
      </c>
      <c r="Q115">
        <v>2163.989167442759</v>
      </c>
      <c r="R115">
        <v>2165.9663672539691</v>
      </c>
      <c r="S115">
        <f t="shared" si="1"/>
        <v>-1.9771998112100846</v>
      </c>
      <c r="T115">
        <v>5</v>
      </c>
      <c r="V115">
        <v>4</v>
      </c>
      <c r="X115">
        <v>0.6</v>
      </c>
      <c r="Y115">
        <v>0.15</v>
      </c>
      <c r="Z115">
        <v>447.85325830765441</v>
      </c>
      <c r="AA115">
        <v>146.40436771548389</v>
      </c>
      <c r="AD115" t="s">
        <v>230</v>
      </c>
      <c r="AE115" t="s">
        <v>230</v>
      </c>
      <c r="AG115">
        <v>2116.7071000000001</v>
      </c>
      <c r="AH115">
        <v>2116.7071000000001</v>
      </c>
      <c r="AI115">
        <v>145.83909409063969</v>
      </c>
      <c r="AJ115">
        <v>146.40436771548389</v>
      </c>
      <c r="AK115">
        <v>147.21683704613679</v>
      </c>
      <c r="AM115">
        <v>93.303795682422177</v>
      </c>
      <c r="AN115">
        <v>74.802884424192726</v>
      </c>
    </row>
    <row r="116" spans="2:40" x14ac:dyDescent="0.3">
      <c r="B116" t="s">
        <v>231</v>
      </c>
      <c r="C116" s="2">
        <v>45946</v>
      </c>
      <c r="D116" t="s">
        <v>38</v>
      </c>
      <c r="E116">
        <v>4</v>
      </c>
      <c r="G116">
        <v>147</v>
      </c>
      <c r="J116">
        <v>25.1</v>
      </c>
      <c r="K116">
        <v>168.45</v>
      </c>
      <c r="L116">
        <v>30</v>
      </c>
      <c r="M116">
        <v>0.10064399</v>
      </c>
      <c r="N116">
        <v>2271.12</v>
      </c>
      <c r="O116">
        <v>2225.0748953094921</v>
      </c>
      <c r="P116">
        <v>2095.9063383438552</v>
      </c>
      <c r="Q116">
        <v>2188.0502296822938</v>
      </c>
      <c r="R116">
        <v>2190.1226586431021</v>
      </c>
      <c r="S116">
        <f t="shared" si="1"/>
        <v>-2.0724289608083382</v>
      </c>
      <c r="T116">
        <v>5</v>
      </c>
      <c r="V116">
        <v>4</v>
      </c>
      <c r="X116">
        <v>0.6</v>
      </c>
      <c r="Y116">
        <v>0.15</v>
      </c>
      <c r="Z116">
        <v>448.24992411931561</v>
      </c>
      <c r="AA116">
        <v>149.0430477903368</v>
      </c>
      <c r="AD116" t="s">
        <v>232</v>
      </c>
      <c r="AE116" t="s">
        <v>232</v>
      </c>
      <c r="AG116">
        <v>2136.8597</v>
      </c>
      <c r="AH116">
        <v>2136.8597</v>
      </c>
      <c r="AI116">
        <v>148.46634340788441</v>
      </c>
      <c r="AJ116">
        <v>149.0430477903368</v>
      </c>
      <c r="AK116">
        <v>149.86597431744431</v>
      </c>
      <c r="AM116">
        <v>94.194867002547767</v>
      </c>
      <c r="AN116">
        <v>74.802884424192726</v>
      </c>
    </row>
    <row r="117" spans="2:40" x14ac:dyDescent="0.3">
      <c r="B117" t="s">
        <v>233</v>
      </c>
      <c r="C117" s="2">
        <v>45946</v>
      </c>
      <c r="D117" t="s">
        <v>38</v>
      </c>
      <c r="E117">
        <v>5</v>
      </c>
      <c r="G117">
        <v>148</v>
      </c>
      <c r="J117">
        <v>25.1</v>
      </c>
      <c r="K117">
        <v>168.35</v>
      </c>
      <c r="L117">
        <v>30</v>
      </c>
      <c r="M117">
        <v>0.10064399</v>
      </c>
      <c r="N117">
        <v>2271.12</v>
      </c>
      <c r="O117">
        <v>2225.0748953094921</v>
      </c>
      <c r="P117">
        <v>2036.525324980377</v>
      </c>
      <c r="Q117">
        <v>2187.496010443951</v>
      </c>
      <c r="R117">
        <v>2191.144049562452</v>
      </c>
      <c r="S117">
        <f t="shared" si="1"/>
        <v>-3.6480391185009466</v>
      </c>
      <c r="T117">
        <v>10</v>
      </c>
      <c r="V117">
        <v>4</v>
      </c>
      <c r="X117">
        <v>0.6</v>
      </c>
      <c r="Y117">
        <v>0.15</v>
      </c>
      <c r="Z117">
        <v>447.62516550364683</v>
      </c>
      <c r="AA117">
        <v>143.6471529887136</v>
      </c>
      <c r="AD117" t="s">
        <v>234</v>
      </c>
      <c r="AE117" t="s">
        <v>234</v>
      </c>
      <c r="AG117">
        <v>2076.3184000000001</v>
      </c>
      <c r="AH117">
        <v>2076.3184000000001</v>
      </c>
      <c r="AI117">
        <v>143.09536933358731</v>
      </c>
      <c r="AJ117">
        <v>143.6471529887136</v>
      </c>
      <c r="AK117">
        <v>144.45399495217751</v>
      </c>
      <c r="AM117">
        <v>91.526147244455373</v>
      </c>
      <c r="AN117">
        <v>74.802884424192726</v>
      </c>
    </row>
    <row r="118" spans="2:40" x14ac:dyDescent="0.3">
      <c r="B118" t="s">
        <v>235</v>
      </c>
      <c r="C118" s="2">
        <v>45946</v>
      </c>
      <c r="D118" t="s">
        <v>38</v>
      </c>
      <c r="E118">
        <v>6</v>
      </c>
      <c r="G118">
        <v>150</v>
      </c>
      <c r="J118">
        <v>25.2</v>
      </c>
      <c r="K118">
        <v>168.45</v>
      </c>
      <c r="L118">
        <v>30</v>
      </c>
      <c r="M118">
        <v>0.10064399</v>
      </c>
      <c r="N118">
        <v>2271.12</v>
      </c>
      <c r="O118">
        <v>2225.0748953094921</v>
      </c>
      <c r="P118">
        <v>1747.940077757336</v>
      </c>
      <c r="Q118">
        <v>2349.568037690859</v>
      </c>
      <c r="R118">
        <v>2379.6362295444251</v>
      </c>
      <c r="S118">
        <f t="shared" si="1"/>
        <v>-30.068191853566077</v>
      </c>
      <c r="T118">
        <v>70</v>
      </c>
      <c r="V118">
        <v>4</v>
      </c>
      <c r="X118">
        <v>0.6</v>
      </c>
      <c r="Y118">
        <v>0.15</v>
      </c>
      <c r="Z118">
        <v>448.25543919104632</v>
      </c>
      <c r="AA118">
        <v>149.89030119807219</v>
      </c>
      <c r="AD118" t="s">
        <v>236</v>
      </c>
      <c r="AE118" t="s">
        <v>236</v>
      </c>
      <c r="AG118">
        <v>1782.0420999999999</v>
      </c>
      <c r="AH118">
        <v>1782.0420999999999</v>
      </c>
      <c r="AI118">
        <v>149.31043291618261</v>
      </c>
      <c r="AJ118">
        <v>149.89030119807219</v>
      </c>
      <c r="AK118">
        <v>150.71831994112421</v>
      </c>
      <c r="AM118">
        <v>78.556460343965625</v>
      </c>
      <c r="AN118">
        <v>74.802884424192726</v>
      </c>
    </row>
    <row r="119" spans="2:40" x14ac:dyDescent="0.3">
      <c r="B119" t="s">
        <v>237</v>
      </c>
      <c r="C119" s="2">
        <v>45946</v>
      </c>
      <c r="D119" t="s">
        <v>38</v>
      </c>
      <c r="E119">
        <v>7</v>
      </c>
      <c r="G119">
        <v>151</v>
      </c>
      <c r="J119">
        <v>25.2</v>
      </c>
      <c r="K119">
        <v>168.15</v>
      </c>
      <c r="L119">
        <v>30</v>
      </c>
      <c r="M119">
        <v>0.10064399</v>
      </c>
      <c r="N119">
        <v>2271.12</v>
      </c>
      <c r="O119">
        <v>2225.0748953094921</v>
      </c>
      <c r="P119">
        <v>1944.504145263088</v>
      </c>
      <c r="Q119">
        <v>2208.469223095869</v>
      </c>
      <c r="R119">
        <v>2215.891258056311</v>
      </c>
      <c r="S119">
        <f t="shared" si="1"/>
        <v>-7.4220349604420335</v>
      </c>
      <c r="T119">
        <v>21</v>
      </c>
      <c r="V119">
        <v>4</v>
      </c>
      <c r="X119">
        <v>0.6</v>
      </c>
      <c r="Y119">
        <v>0.15</v>
      </c>
      <c r="Z119">
        <v>448.14502519295911</v>
      </c>
      <c r="AA119">
        <v>151.64059840845721</v>
      </c>
      <c r="AD119" t="s">
        <v>238</v>
      </c>
      <c r="AE119" t="s">
        <v>238</v>
      </c>
      <c r="AG119">
        <v>1982.4411</v>
      </c>
      <c r="AH119">
        <v>1982.4411</v>
      </c>
      <c r="AI119">
        <v>151.05279308683691</v>
      </c>
      <c r="AJ119">
        <v>151.64059840845721</v>
      </c>
      <c r="AK119">
        <v>152.4743284270003</v>
      </c>
      <c r="AM119">
        <v>87.390503095520359</v>
      </c>
      <c r="AN119">
        <v>74.802884424192726</v>
      </c>
    </row>
    <row r="120" spans="2:40" x14ac:dyDescent="0.3">
      <c r="B120" t="s">
        <v>239</v>
      </c>
      <c r="C120" s="2">
        <v>45946</v>
      </c>
      <c r="D120" t="s">
        <v>38</v>
      </c>
      <c r="E120">
        <v>8</v>
      </c>
      <c r="G120">
        <v>153</v>
      </c>
      <c r="J120">
        <v>25.2</v>
      </c>
      <c r="K120">
        <v>167.9</v>
      </c>
      <c r="L120">
        <v>30</v>
      </c>
      <c r="M120">
        <v>0.10064399</v>
      </c>
      <c r="N120">
        <v>2271.12</v>
      </c>
      <c r="O120">
        <v>2225.0748953094921</v>
      </c>
      <c r="P120">
        <v>1886.7613967502889</v>
      </c>
      <c r="Q120">
        <v>2227.1294799252669</v>
      </c>
      <c r="R120">
        <v>2237.8944971310239</v>
      </c>
      <c r="S120">
        <f t="shared" si="1"/>
        <v>-10.765017205756976</v>
      </c>
      <c r="T120">
        <v>30</v>
      </c>
      <c r="V120">
        <v>4</v>
      </c>
      <c r="X120">
        <v>0.6</v>
      </c>
      <c r="Y120">
        <v>0.15</v>
      </c>
      <c r="Z120">
        <v>448.19502920081078</v>
      </c>
      <c r="AA120">
        <v>151.6406064032642</v>
      </c>
      <c r="AD120" t="s">
        <v>240</v>
      </c>
      <c r="AE120" t="s">
        <v>240</v>
      </c>
      <c r="AG120">
        <v>1923.5717999999999</v>
      </c>
      <c r="AH120">
        <v>1923.5717999999999</v>
      </c>
      <c r="AI120">
        <v>151.05280127802081</v>
      </c>
      <c r="AJ120">
        <v>151.6406064032642</v>
      </c>
      <c r="AK120">
        <v>152.47433903557749</v>
      </c>
      <c r="AM120">
        <v>84.795410739999099</v>
      </c>
      <c r="AN120">
        <v>74.802884424192726</v>
      </c>
    </row>
    <row r="121" spans="2:40" x14ac:dyDescent="0.3">
      <c r="B121" t="s">
        <v>241</v>
      </c>
      <c r="C121" s="2">
        <v>45946</v>
      </c>
      <c r="D121" t="s">
        <v>38</v>
      </c>
      <c r="E121">
        <v>9</v>
      </c>
      <c r="G121">
        <v>154</v>
      </c>
      <c r="J121">
        <v>25.2</v>
      </c>
      <c r="K121">
        <v>167.25</v>
      </c>
      <c r="L121">
        <v>30</v>
      </c>
      <c r="M121">
        <v>0.10064399</v>
      </c>
      <c r="N121">
        <v>2271.12</v>
      </c>
      <c r="O121">
        <v>2225.0748953094921</v>
      </c>
      <c r="P121">
        <v>2137.7628988966112</v>
      </c>
      <c r="Q121">
        <v>2175.1137213648808</v>
      </c>
      <c r="R121">
        <v>2175.9059101071198</v>
      </c>
      <c r="S121">
        <f t="shared" si="1"/>
        <v>-0.79218874223897728</v>
      </c>
      <c r="T121">
        <v>1</v>
      </c>
      <c r="V121">
        <v>4</v>
      </c>
      <c r="X121">
        <v>0.6</v>
      </c>
      <c r="Y121">
        <v>0.15</v>
      </c>
      <c r="Z121">
        <v>448.27176440243392</v>
      </c>
      <c r="AA121">
        <v>155.08460975116751</v>
      </c>
      <c r="AD121" t="s">
        <v>242</v>
      </c>
      <c r="AE121" t="s">
        <v>242</v>
      </c>
      <c r="AG121">
        <v>2179.4703</v>
      </c>
      <c r="AH121">
        <v>2179.4703</v>
      </c>
      <c r="AI121">
        <v>154.48135856703081</v>
      </c>
      <c r="AJ121">
        <v>155.08460975116751</v>
      </c>
      <c r="AK121">
        <v>155.9301453277595</v>
      </c>
      <c r="AM121">
        <v>96.075997414876397</v>
      </c>
      <c r="AN121">
        <v>74.802884424192726</v>
      </c>
    </row>
    <row r="122" spans="2:40" x14ac:dyDescent="0.3">
      <c r="B122" t="s">
        <v>243</v>
      </c>
      <c r="C122" s="2">
        <v>45946</v>
      </c>
      <c r="D122" t="s">
        <v>38</v>
      </c>
      <c r="E122">
        <v>10</v>
      </c>
      <c r="G122">
        <v>155</v>
      </c>
      <c r="J122">
        <v>25.1</v>
      </c>
      <c r="K122">
        <v>167.05</v>
      </c>
      <c r="L122">
        <v>30</v>
      </c>
      <c r="M122">
        <v>0.10064399</v>
      </c>
      <c r="N122">
        <v>2271.12</v>
      </c>
      <c r="O122">
        <v>2225.0748953094921</v>
      </c>
      <c r="P122">
        <v>2124.5246454732501</v>
      </c>
      <c r="Q122">
        <v>2175.6419855208792</v>
      </c>
      <c r="R122">
        <v>2176.7422947634132</v>
      </c>
      <c r="S122">
        <f t="shared" si="1"/>
        <v>-1.1003092425339673</v>
      </c>
      <c r="T122">
        <v>2</v>
      </c>
      <c r="V122">
        <v>4</v>
      </c>
      <c r="X122">
        <v>0.6</v>
      </c>
      <c r="Y122">
        <v>0.15</v>
      </c>
      <c r="Z122">
        <v>448.01719614227841</v>
      </c>
      <c r="AA122">
        <v>154.26278640184989</v>
      </c>
      <c r="AD122" t="s">
        <v>244</v>
      </c>
      <c r="AE122" t="s">
        <v>244</v>
      </c>
      <c r="AG122">
        <v>2166.0372000000002</v>
      </c>
      <c r="AH122">
        <v>2166.0372000000002</v>
      </c>
      <c r="AI122">
        <v>153.66248507427011</v>
      </c>
      <c r="AJ122">
        <v>154.26278640184989</v>
      </c>
      <c r="AK122">
        <v>155.10298521617591</v>
      </c>
      <c r="AM122">
        <v>95.481039759686098</v>
      </c>
      <c r="AN122">
        <v>74.802884424192726</v>
      </c>
    </row>
    <row r="123" spans="2:40" x14ac:dyDescent="0.3">
      <c r="B123" t="s">
        <v>245</v>
      </c>
      <c r="C123" s="2">
        <v>45946</v>
      </c>
      <c r="D123" t="s">
        <v>38</v>
      </c>
      <c r="E123">
        <v>11</v>
      </c>
      <c r="G123">
        <v>156</v>
      </c>
      <c r="J123">
        <v>25.2</v>
      </c>
      <c r="K123">
        <v>167</v>
      </c>
      <c r="L123">
        <v>30</v>
      </c>
      <c r="M123">
        <v>0.10064399</v>
      </c>
      <c r="N123">
        <v>2271.12</v>
      </c>
      <c r="O123">
        <v>2225.0748953094921</v>
      </c>
      <c r="P123">
        <v>2141.095284601849</v>
      </c>
      <c r="Q123">
        <v>2174.9428955531098</v>
      </c>
      <c r="R123">
        <v>2175.6581278694789</v>
      </c>
      <c r="S123">
        <f t="shared" si="1"/>
        <v>-0.71523231636911078</v>
      </c>
      <c r="T123">
        <v>0.75</v>
      </c>
      <c r="V123">
        <v>4</v>
      </c>
      <c r="X123">
        <v>0.6</v>
      </c>
      <c r="Y123">
        <v>0.15</v>
      </c>
      <c r="Z123">
        <v>448.1904443439131</v>
      </c>
      <c r="AA123">
        <v>155.93408508192979</v>
      </c>
      <c r="AD123" t="s">
        <v>246</v>
      </c>
      <c r="AE123" t="s">
        <v>246</v>
      </c>
      <c r="AG123">
        <v>2182.8676999999998</v>
      </c>
      <c r="AH123">
        <v>2182.8676999999998</v>
      </c>
      <c r="AI123">
        <v>155.32705965989041</v>
      </c>
      <c r="AJ123">
        <v>155.93408508192979</v>
      </c>
      <c r="AK123">
        <v>156.78264604783541</v>
      </c>
      <c r="AM123">
        <v>96.225762517716859</v>
      </c>
      <c r="AN123">
        <v>74.802884424192726</v>
      </c>
    </row>
    <row r="124" spans="2:40" x14ac:dyDescent="0.3">
      <c r="B124" t="s">
        <v>247</v>
      </c>
      <c r="C124" s="2">
        <v>45946</v>
      </c>
      <c r="D124" t="s">
        <v>38</v>
      </c>
      <c r="E124">
        <v>12</v>
      </c>
      <c r="G124">
        <v>157</v>
      </c>
      <c r="J124">
        <v>25.2</v>
      </c>
      <c r="K124">
        <v>166.9</v>
      </c>
      <c r="L124">
        <v>30</v>
      </c>
      <c r="M124">
        <v>0.10064399</v>
      </c>
      <c r="N124">
        <v>2271.12</v>
      </c>
      <c r="O124">
        <v>2225.0748953094921</v>
      </c>
      <c r="P124">
        <v>2112.2721197872029</v>
      </c>
      <c r="Q124">
        <v>2176.8750660763098</v>
      </c>
      <c r="R124">
        <v>2178.286256449142</v>
      </c>
      <c r="S124">
        <f t="shared" si="1"/>
        <v>-1.4111903728321522</v>
      </c>
      <c r="T124">
        <v>3</v>
      </c>
      <c r="V124">
        <v>4</v>
      </c>
      <c r="X124">
        <v>0.6</v>
      </c>
      <c r="Y124">
        <v>0.15</v>
      </c>
      <c r="Z124">
        <v>448.12176235256169</v>
      </c>
      <c r="AA124">
        <v>155.0846056115353</v>
      </c>
      <c r="AD124" t="s">
        <v>248</v>
      </c>
      <c r="AE124" t="s">
        <v>248</v>
      </c>
      <c r="AG124">
        <v>2153.4821999999999</v>
      </c>
      <c r="AH124">
        <v>2153.4821999999999</v>
      </c>
      <c r="AI124">
        <v>154.4813543056413</v>
      </c>
      <c r="AJ124">
        <v>155.0846056115353</v>
      </c>
      <c r="AK124">
        <v>155.93013980739121</v>
      </c>
      <c r="AM124">
        <v>94.930382983508551</v>
      </c>
      <c r="AN124">
        <v>74.802884424192726</v>
      </c>
    </row>
    <row r="125" spans="2:40" x14ac:dyDescent="0.3">
      <c r="B125" t="s">
        <v>249</v>
      </c>
      <c r="C125" s="2">
        <v>45946</v>
      </c>
      <c r="D125" t="s">
        <v>38</v>
      </c>
      <c r="E125">
        <v>13</v>
      </c>
      <c r="G125">
        <v>158</v>
      </c>
      <c r="J125">
        <v>25.2</v>
      </c>
      <c r="K125">
        <v>166.4</v>
      </c>
      <c r="L125">
        <v>30</v>
      </c>
      <c r="M125">
        <v>0.10064399</v>
      </c>
      <c r="N125">
        <v>2271.12</v>
      </c>
      <c r="O125">
        <v>2225.0748953094921</v>
      </c>
      <c r="P125">
        <v>1793.2179146374931</v>
      </c>
      <c r="Q125">
        <v>2286.8264757218631</v>
      </c>
      <c r="R125">
        <v>2307.1619790561508</v>
      </c>
      <c r="S125">
        <f t="shared" si="1"/>
        <v>-20.33550333428775</v>
      </c>
      <c r="T125">
        <v>52</v>
      </c>
      <c r="V125">
        <v>4</v>
      </c>
      <c r="X125">
        <v>0.6</v>
      </c>
      <c r="Y125">
        <v>0.15</v>
      </c>
      <c r="Z125">
        <v>448.02724165500462</v>
      </c>
      <c r="AA125">
        <v>157.61959007470901</v>
      </c>
      <c r="AD125" t="s">
        <v>250</v>
      </c>
      <c r="AE125" t="s">
        <v>250</v>
      </c>
      <c r="AG125">
        <v>1828.2032999999999</v>
      </c>
      <c r="AH125">
        <v>1828.2032999999999</v>
      </c>
      <c r="AI125">
        <v>157.00512055217041</v>
      </c>
      <c r="AJ125">
        <v>157.61959007470901</v>
      </c>
      <c r="AK125">
        <v>158.47431086885001</v>
      </c>
      <c r="AM125">
        <v>80.591350808803639</v>
      </c>
      <c r="AN125">
        <v>74.802884424192726</v>
      </c>
    </row>
    <row r="126" spans="2:40" x14ac:dyDescent="0.3">
      <c r="B126" t="s">
        <v>251</v>
      </c>
      <c r="C126" s="2">
        <v>45947</v>
      </c>
      <c r="D126" t="s">
        <v>38</v>
      </c>
      <c r="E126">
        <v>14</v>
      </c>
      <c r="G126">
        <v>159</v>
      </c>
      <c r="J126">
        <v>25.1</v>
      </c>
      <c r="K126">
        <v>165.6</v>
      </c>
      <c r="L126">
        <v>30</v>
      </c>
      <c r="M126">
        <v>0.10064399</v>
      </c>
      <c r="N126">
        <v>2285.2577700000002</v>
      </c>
      <c r="O126">
        <v>2238.9260335596332</v>
      </c>
      <c r="P126">
        <v>2145.530791869186</v>
      </c>
      <c r="Q126">
        <v>2168.0859037459222</v>
      </c>
      <c r="R126">
        <v>2168.5572327928448</v>
      </c>
      <c r="S126">
        <f t="shared" si="1"/>
        <v>-0.47132904692261945</v>
      </c>
      <c r="T126">
        <v>0</v>
      </c>
      <c r="V126">
        <v>4</v>
      </c>
      <c r="X126">
        <v>0.6</v>
      </c>
      <c r="Y126">
        <v>0.15</v>
      </c>
      <c r="Z126">
        <v>447.95839237580952</v>
      </c>
      <c r="AA126">
        <v>165.2143346735775</v>
      </c>
      <c r="AD126" t="s">
        <v>252</v>
      </c>
      <c r="AE126" t="s">
        <v>252</v>
      </c>
      <c r="AG126">
        <v>2187.4537999999998</v>
      </c>
      <c r="AH126">
        <v>2187.4537999999998</v>
      </c>
      <c r="AI126">
        <v>164.56880219172251</v>
      </c>
      <c r="AJ126">
        <v>165.2143346735775</v>
      </c>
      <c r="AK126">
        <v>166.10502027574819</v>
      </c>
      <c r="AM126">
        <v>95.828569577979323</v>
      </c>
      <c r="AN126">
        <v>74.68695557712951</v>
      </c>
    </row>
    <row r="127" spans="2:40" x14ac:dyDescent="0.3">
      <c r="B127" t="s">
        <v>253</v>
      </c>
      <c r="C127" s="2">
        <v>45947</v>
      </c>
      <c r="D127" t="s">
        <v>200</v>
      </c>
      <c r="E127">
        <v>1</v>
      </c>
      <c r="G127">
        <v>165</v>
      </c>
      <c r="J127">
        <v>25.2</v>
      </c>
      <c r="K127">
        <v>182.45</v>
      </c>
      <c r="L127">
        <v>30</v>
      </c>
      <c r="M127">
        <v>0.10064399</v>
      </c>
      <c r="N127">
        <v>2325.0453400000001</v>
      </c>
      <c r="O127">
        <v>2277.906943045864</v>
      </c>
      <c r="P127">
        <v>1683.629761408379</v>
      </c>
      <c r="Q127">
        <v>1789.009232064225</v>
      </c>
      <c r="R127">
        <v>1791.2277542637869</v>
      </c>
      <c r="S127">
        <f t="shared" si="1"/>
        <v>-2.2185221995619031</v>
      </c>
      <c r="T127">
        <v>0.5</v>
      </c>
      <c r="V127">
        <v>4</v>
      </c>
      <c r="X127">
        <v>4.2</v>
      </c>
      <c r="Y127">
        <v>0.15</v>
      </c>
      <c r="Z127">
        <v>635.41882445157512</v>
      </c>
      <c r="AA127">
        <v>2314.670109002438</v>
      </c>
      <c r="AD127" t="s">
        <v>254</v>
      </c>
      <c r="AE127" t="s">
        <v>254</v>
      </c>
      <c r="AG127">
        <v>1716.4771000000001</v>
      </c>
      <c r="AH127">
        <v>1716.4771000000001</v>
      </c>
      <c r="AI127">
        <v>2299.2363455417908</v>
      </c>
      <c r="AJ127">
        <v>2314.670109002438</v>
      </c>
      <c r="AK127">
        <v>2307.546301301772</v>
      </c>
      <c r="AM127">
        <v>73.911261675911234</v>
      </c>
      <c r="AN127">
        <v>0.67169128505723608</v>
      </c>
    </row>
    <row r="128" spans="2:40" x14ac:dyDescent="0.3">
      <c r="B128" t="s">
        <v>255</v>
      </c>
      <c r="C128" s="2">
        <v>45947</v>
      </c>
      <c r="D128" t="s">
        <v>200</v>
      </c>
      <c r="E128">
        <v>2</v>
      </c>
      <c r="G128">
        <v>166</v>
      </c>
      <c r="J128">
        <v>25.2</v>
      </c>
      <c r="K128">
        <v>181.75</v>
      </c>
      <c r="L128">
        <v>30</v>
      </c>
      <c r="M128">
        <v>0.10064399</v>
      </c>
      <c r="N128">
        <v>2325.0453400000001</v>
      </c>
      <c r="O128">
        <v>2277.906943045864</v>
      </c>
      <c r="P128">
        <v>1679.1615357529829</v>
      </c>
      <c r="Q128">
        <v>1784.258772400284</v>
      </c>
      <c r="R128">
        <v>1786.471352812423</v>
      </c>
      <c r="S128">
        <f t="shared" si="1"/>
        <v>-2.2125804121390047</v>
      </c>
      <c r="T128">
        <v>0.5</v>
      </c>
      <c r="V128">
        <v>4</v>
      </c>
      <c r="W128">
        <v>1</v>
      </c>
      <c r="X128">
        <v>4.2</v>
      </c>
      <c r="Y128">
        <v>0.15</v>
      </c>
      <c r="Z128">
        <v>635.24445328222646</v>
      </c>
      <c r="AA128">
        <v>2315.9928619498369</v>
      </c>
      <c r="AB128">
        <v>2315.971</v>
      </c>
      <c r="AC128">
        <v>3.2000000000000001E-2</v>
      </c>
      <c r="AD128" t="s">
        <v>256</v>
      </c>
      <c r="AE128" t="s">
        <v>256</v>
      </c>
      <c r="AG128">
        <v>1711.9217000000001</v>
      </c>
      <c r="AH128">
        <v>1711.9217000000001</v>
      </c>
      <c r="AI128">
        <v>2300.694638396958</v>
      </c>
      <c r="AJ128">
        <v>2315.9928619498369</v>
      </c>
      <c r="AK128">
        <v>2309.0110756117911</v>
      </c>
      <c r="AM128">
        <v>73.715106794824592</v>
      </c>
      <c r="AN128">
        <v>0.67169128505723608</v>
      </c>
    </row>
    <row r="129" spans="2:40" x14ac:dyDescent="0.3">
      <c r="B129" t="s">
        <v>257</v>
      </c>
      <c r="C129" s="2">
        <v>45947</v>
      </c>
      <c r="D129" t="s">
        <v>200</v>
      </c>
      <c r="E129">
        <v>3</v>
      </c>
      <c r="J129">
        <v>25.2</v>
      </c>
      <c r="K129">
        <v>181.55</v>
      </c>
      <c r="L129">
        <v>30</v>
      </c>
      <c r="M129">
        <v>0.10064399</v>
      </c>
      <c r="N129">
        <v>2325.0453400000001</v>
      </c>
      <c r="O129">
        <v>2277.906943045864</v>
      </c>
      <c r="S129">
        <f t="shared" si="1"/>
        <v>0</v>
      </c>
      <c r="V129">
        <v>4</v>
      </c>
      <c r="W129">
        <v>1</v>
      </c>
      <c r="X129">
        <v>4.2</v>
      </c>
      <c r="Y129">
        <v>0.15</v>
      </c>
      <c r="Z129">
        <v>635.04981878167121</v>
      </c>
      <c r="AA129">
        <v>2315.9482846913911</v>
      </c>
      <c r="AB129">
        <v>2315.971</v>
      </c>
      <c r="AC129">
        <v>3.2000000000000001E-2</v>
      </c>
      <c r="AI129">
        <v>2301.291705757028</v>
      </c>
      <c r="AJ129">
        <v>2315.9482846913911</v>
      </c>
      <c r="AK129">
        <v>2309.6112661265952</v>
      </c>
    </row>
    <row r="130" spans="2:40" x14ac:dyDescent="0.3">
      <c r="B130" t="s">
        <v>258</v>
      </c>
      <c r="C130" s="2">
        <v>45951</v>
      </c>
      <c r="D130" t="s">
        <v>200</v>
      </c>
      <c r="E130">
        <v>4</v>
      </c>
      <c r="G130">
        <v>170</v>
      </c>
      <c r="J130">
        <v>25.2</v>
      </c>
      <c r="K130">
        <v>180.7</v>
      </c>
      <c r="L130">
        <v>30</v>
      </c>
      <c r="M130">
        <v>0.10064399</v>
      </c>
      <c r="N130">
        <v>2298.4281999999998</v>
      </c>
      <c r="O130">
        <v>2251.8294438388921</v>
      </c>
      <c r="P130">
        <v>1721.4546049575531</v>
      </c>
      <c r="Q130">
        <v>1802.764062733839</v>
      </c>
      <c r="R130">
        <v>1804.463167994277</v>
      </c>
      <c r="S130">
        <f t="shared" si="1"/>
        <v>-1.6991052604380457</v>
      </c>
      <c r="T130">
        <v>0</v>
      </c>
      <c r="V130">
        <v>4</v>
      </c>
      <c r="W130">
        <v>1</v>
      </c>
      <c r="X130">
        <v>4.2</v>
      </c>
      <c r="Y130">
        <v>0.15</v>
      </c>
      <c r="Z130">
        <v>634.22468418337564</v>
      </c>
      <c r="AA130">
        <v>2323.3157507639671</v>
      </c>
      <c r="AB130">
        <v>2323.3159999999998</v>
      </c>
      <c r="AD130" t="s">
        <v>259</v>
      </c>
      <c r="AE130" t="s">
        <v>259</v>
      </c>
      <c r="AG130">
        <v>1755.0399</v>
      </c>
      <c r="AH130">
        <v>1755.0399</v>
      </c>
      <c r="AI130">
        <v>2308.6124278261318</v>
      </c>
      <c r="AJ130">
        <v>2308.6124278261318</v>
      </c>
      <c r="AK130">
        <v>2302.302753572395</v>
      </c>
      <c r="AM130">
        <v>76.446935609068049</v>
      </c>
      <c r="AN130">
        <v>0.66975000261801776</v>
      </c>
    </row>
    <row r="131" spans="2:40" x14ac:dyDescent="0.3">
      <c r="B131" t="s">
        <v>260</v>
      </c>
      <c r="C131" s="2">
        <v>45952</v>
      </c>
      <c r="D131" t="s">
        <v>200</v>
      </c>
      <c r="E131">
        <v>1</v>
      </c>
      <c r="H131" t="s">
        <v>261</v>
      </c>
      <c r="J131">
        <v>25</v>
      </c>
      <c r="K131">
        <v>178.65</v>
      </c>
      <c r="L131">
        <v>30</v>
      </c>
      <c r="M131">
        <v>9.9412731062620593E-2</v>
      </c>
      <c r="N131">
        <v>2307.9313400000001</v>
      </c>
      <c r="O131">
        <v>2261.1399154302708</v>
      </c>
      <c r="S131">
        <f t="shared" ref="S131:S194" si="2">Q131-R131</f>
        <v>0</v>
      </c>
      <c r="V131">
        <v>4</v>
      </c>
      <c r="X131">
        <v>4.2</v>
      </c>
      <c r="Y131">
        <v>0.15</v>
      </c>
      <c r="Z131">
        <v>633.77703328645782</v>
      </c>
      <c r="AA131">
        <v>2224.0195753091389</v>
      </c>
      <c r="AI131">
        <v>2236.9737469180991</v>
      </c>
      <c r="AJ131">
        <v>2236.9737469180991</v>
      </c>
      <c r="AK131">
        <v>2231.0045089275091</v>
      </c>
    </row>
    <row r="132" spans="2:40" x14ac:dyDescent="0.3">
      <c r="B132" t="s">
        <v>262</v>
      </c>
      <c r="C132" s="2">
        <v>45952</v>
      </c>
      <c r="D132" t="s">
        <v>200</v>
      </c>
      <c r="E132">
        <v>1</v>
      </c>
      <c r="G132">
        <v>179</v>
      </c>
      <c r="J132">
        <v>24.9</v>
      </c>
      <c r="K132">
        <v>175.95</v>
      </c>
      <c r="L132">
        <v>30</v>
      </c>
      <c r="M132">
        <v>9.9412731062620593E-2</v>
      </c>
      <c r="N132">
        <v>2307.9313400000001</v>
      </c>
      <c r="O132">
        <v>2261.1399154302708</v>
      </c>
      <c r="P132">
        <v>1672.276480089083</v>
      </c>
      <c r="S132">
        <f t="shared" si="2"/>
        <v>0</v>
      </c>
      <c r="T132">
        <v>0</v>
      </c>
      <c r="V132">
        <v>4</v>
      </c>
      <c r="X132">
        <v>4.2</v>
      </c>
      <c r="Y132">
        <v>0.15</v>
      </c>
      <c r="Z132">
        <v>633.37444281066871</v>
      </c>
      <c r="AA132">
        <v>2272.512640315796</v>
      </c>
      <c r="AD132" t="s">
        <v>263</v>
      </c>
      <c r="AE132" t="s">
        <v>263</v>
      </c>
      <c r="AG132">
        <v>1705.0517</v>
      </c>
      <c r="AH132">
        <v>1705.0517</v>
      </c>
      <c r="AI132">
        <v>2285.7206291555271</v>
      </c>
      <c r="AJ132">
        <v>2285.7206291555271</v>
      </c>
      <c r="AK132">
        <v>2279.96266099587</v>
      </c>
      <c r="AM132">
        <v>73.957231424613838</v>
      </c>
    </row>
    <row r="133" spans="2:40" x14ac:dyDescent="0.3">
      <c r="B133" t="s">
        <v>264</v>
      </c>
      <c r="C133" s="2">
        <v>45952</v>
      </c>
      <c r="D133" t="s">
        <v>200</v>
      </c>
      <c r="E133">
        <v>2</v>
      </c>
      <c r="G133">
        <v>180</v>
      </c>
      <c r="J133">
        <v>25.1</v>
      </c>
      <c r="K133">
        <v>176.3</v>
      </c>
      <c r="L133">
        <v>30</v>
      </c>
      <c r="M133">
        <v>9.9412731062620593E-2</v>
      </c>
      <c r="N133">
        <v>2307.9313400000001</v>
      </c>
      <c r="O133">
        <v>2261.1399154302708</v>
      </c>
      <c r="P133">
        <v>1961.925875158729</v>
      </c>
      <c r="S133">
        <f t="shared" si="2"/>
        <v>0</v>
      </c>
      <c r="T133">
        <v>0</v>
      </c>
      <c r="V133">
        <v>4</v>
      </c>
      <c r="X133">
        <v>2.1</v>
      </c>
      <c r="Y133">
        <v>0.15</v>
      </c>
      <c r="Z133">
        <v>504.61293392340468</v>
      </c>
      <c r="AA133">
        <v>1067.8989102741141</v>
      </c>
      <c r="AD133" t="s">
        <v>265</v>
      </c>
      <c r="AE133" t="s">
        <v>265</v>
      </c>
      <c r="AG133">
        <v>2000.2612999999999</v>
      </c>
      <c r="AH133">
        <v>2000.2612999999999</v>
      </c>
      <c r="AI133">
        <v>1073.959843373148</v>
      </c>
      <c r="AJ133">
        <v>1073.959843373148</v>
      </c>
      <c r="AK133">
        <v>1071.669319929123</v>
      </c>
      <c r="AM133">
        <v>86.767115195761576</v>
      </c>
    </row>
    <row r="134" spans="2:40" x14ac:dyDescent="0.3">
      <c r="B134" t="s">
        <v>266</v>
      </c>
      <c r="C134" s="2">
        <v>45952</v>
      </c>
      <c r="D134" t="s">
        <v>200</v>
      </c>
      <c r="E134">
        <v>3</v>
      </c>
      <c r="G134">
        <v>181</v>
      </c>
      <c r="J134">
        <v>25.1</v>
      </c>
      <c r="K134">
        <v>176.5</v>
      </c>
      <c r="L134">
        <v>30</v>
      </c>
      <c r="M134">
        <v>9.9412731062620593E-2</v>
      </c>
      <c r="N134">
        <v>2307.9313400000001</v>
      </c>
      <c r="O134">
        <v>2261.1399154302708</v>
      </c>
      <c r="P134">
        <v>1976.8547691864439</v>
      </c>
      <c r="S134">
        <f t="shared" si="2"/>
        <v>0</v>
      </c>
      <c r="T134">
        <v>0</v>
      </c>
      <c r="V134">
        <v>4</v>
      </c>
      <c r="X134">
        <v>2.1</v>
      </c>
      <c r="Y134">
        <v>0.15</v>
      </c>
      <c r="Z134">
        <v>504.09887914315931</v>
      </c>
      <c r="AA134">
        <v>1064.6400382751649</v>
      </c>
      <c r="AD134" t="s">
        <v>267</v>
      </c>
      <c r="AE134" t="s">
        <v>267</v>
      </c>
      <c r="AG134">
        <v>2015.4819</v>
      </c>
      <c r="AH134">
        <v>2015.4819</v>
      </c>
      <c r="AI134">
        <v>1070.6833477445571</v>
      </c>
      <c r="AJ134">
        <v>1070.6833477445571</v>
      </c>
      <c r="AK134">
        <v>1068.4115239680709</v>
      </c>
      <c r="AM134">
        <v>87.427352712504288</v>
      </c>
    </row>
    <row r="135" spans="2:40" x14ac:dyDescent="0.3">
      <c r="B135" t="s">
        <v>268</v>
      </c>
      <c r="C135" s="2">
        <v>45952</v>
      </c>
      <c r="D135" t="s">
        <v>200</v>
      </c>
      <c r="E135">
        <v>4</v>
      </c>
      <c r="G135">
        <v>182</v>
      </c>
      <c r="J135">
        <v>25.1</v>
      </c>
      <c r="K135">
        <v>176.6</v>
      </c>
      <c r="L135">
        <v>30</v>
      </c>
      <c r="M135">
        <v>9.9412731062620593E-2</v>
      </c>
      <c r="N135">
        <v>2307.9313400000001</v>
      </c>
      <c r="O135">
        <v>2261.1399154302708</v>
      </c>
      <c r="P135">
        <v>1923.9591335479349</v>
      </c>
      <c r="S135">
        <f t="shared" si="2"/>
        <v>0</v>
      </c>
      <c r="T135">
        <v>1</v>
      </c>
      <c r="V135">
        <v>4</v>
      </c>
      <c r="X135">
        <v>2.1</v>
      </c>
      <c r="Y135">
        <v>0.15</v>
      </c>
      <c r="Z135">
        <v>500.95299840211783</v>
      </c>
      <c r="AA135">
        <v>980.56034823943389</v>
      </c>
      <c r="AD135" t="s">
        <v>269</v>
      </c>
      <c r="AE135" t="s">
        <v>269</v>
      </c>
      <c r="AG135">
        <v>1961.5527</v>
      </c>
      <c r="AH135">
        <v>1961.5527</v>
      </c>
      <c r="AI135">
        <v>986.09134148382941</v>
      </c>
      <c r="AJ135">
        <v>986.09134148382941</v>
      </c>
      <c r="AK135">
        <v>984.11267221421406</v>
      </c>
      <c r="AM135">
        <v>85.088017792203985</v>
      </c>
    </row>
    <row r="136" spans="2:40" x14ac:dyDescent="0.3">
      <c r="B136" t="s">
        <v>270</v>
      </c>
      <c r="C136" s="2">
        <v>45952</v>
      </c>
      <c r="D136" t="s">
        <v>200</v>
      </c>
      <c r="E136">
        <v>5</v>
      </c>
      <c r="G136">
        <v>183</v>
      </c>
      <c r="J136">
        <v>25.2</v>
      </c>
      <c r="K136">
        <v>177.2</v>
      </c>
      <c r="L136">
        <v>30</v>
      </c>
      <c r="M136">
        <v>9.9412731062620593E-2</v>
      </c>
      <c r="N136">
        <v>2307.9313400000001</v>
      </c>
      <c r="O136">
        <v>2261.1399154302708</v>
      </c>
      <c r="P136">
        <v>1933.0683556301919</v>
      </c>
      <c r="S136">
        <f t="shared" si="2"/>
        <v>0</v>
      </c>
      <c r="T136">
        <v>1</v>
      </c>
      <c r="V136">
        <v>4</v>
      </c>
      <c r="X136">
        <v>2.1</v>
      </c>
      <c r="Y136">
        <v>0.15</v>
      </c>
      <c r="Z136">
        <v>500.96610589092171</v>
      </c>
      <c r="AA136">
        <v>980.44205191448702</v>
      </c>
      <c r="AD136" t="s">
        <v>271</v>
      </c>
      <c r="AE136" t="s">
        <v>271</v>
      </c>
      <c r="AG136">
        <v>1970.7822000000001</v>
      </c>
      <c r="AH136">
        <v>1970.7822000000001</v>
      </c>
      <c r="AI136">
        <v>985.97242987756204</v>
      </c>
      <c r="AJ136">
        <v>985.97242987756204</v>
      </c>
      <c r="AK136">
        <v>983.99320351395613</v>
      </c>
      <c r="AM136">
        <v>85.490877518844286</v>
      </c>
    </row>
    <row r="137" spans="2:40" x14ac:dyDescent="0.3">
      <c r="B137" t="s">
        <v>272</v>
      </c>
      <c r="C137" s="2">
        <v>45952</v>
      </c>
      <c r="D137" t="s">
        <v>200</v>
      </c>
      <c r="E137">
        <v>6</v>
      </c>
      <c r="G137">
        <v>185</v>
      </c>
      <c r="J137">
        <v>25.1</v>
      </c>
      <c r="K137">
        <v>176.95</v>
      </c>
      <c r="L137">
        <v>30</v>
      </c>
      <c r="M137">
        <v>9.9412731062620593E-2</v>
      </c>
      <c r="N137">
        <v>2307.9313400000001</v>
      </c>
      <c r="O137">
        <v>2261.1399154302708</v>
      </c>
      <c r="P137">
        <v>1890.943645964704</v>
      </c>
      <c r="S137">
        <f t="shared" si="2"/>
        <v>0</v>
      </c>
      <c r="T137">
        <v>2</v>
      </c>
      <c r="V137">
        <v>4</v>
      </c>
      <c r="X137">
        <v>2.1</v>
      </c>
      <c r="Y137">
        <v>0.15</v>
      </c>
      <c r="Z137">
        <v>500.8783156571219</v>
      </c>
      <c r="AA137">
        <v>979.49599368010729</v>
      </c>
      <c r="AD137" t="s">
        <v>273</v>
      </c>
      <c r="AE137" t="s">
        <v>273</v>
      </c>
      <c r="AG137">
        <v>1927.8921</v>
      </c>
      <c r="AH137">
        <v>1927.8921</v>
      </c>
      <c r="AI137">
        <v>985.02125391261006</v>
      </c>
      <c r="AJ137">
        <v>985.02125391261006</v>
      </c>
      <c r="AK137">
        <v>983.04288365744014</v>
      </c>
      <c r="AM137">
        <v>83.627891978762293</v>
      </c>
    </row>
    <row r="138" spans="2:40" x14ac:dyDescent="0.3">
      <c r="B138" t="s">
        <v>274</v>
      </c>
      <c r="C138" s="2">
        <v>45952</v>
      </c>
      <c r="D138" t="s">
        <v>200</v>
      </c>
      <c r="E138">
        <v>7</v>
      </c>
      <c r="G138">
        <v>186</v>
      </c>
      <c r="J138">
        <v>25.2</v>
      </c>
      <c r="K138">
        <v>177.15</v>
      </c>
      <c r="L138">
        <v>30</v>
      </c>
      <c r="M138">
        <v>9.9412731062620593E-2</v>
      </c>
      <c r="N138">
        <v>2307.9313400000001</v>
      </c>
      <c r="O138">
        <v>2261.1399154302708</v>
      </c>
      <c r="P138">
        <v>1882.5215161211429</v>
      </c>
      <c r="S138">
        <f t="shared" si="2"/>
        <v>0</v>
      </c>
      <c r="T138">
        <v>2</v>
      </c>
      <c r="V138">
        <v>4</v>
      </c>
      <c r="X138">
        <v>2.1</v>
      </c>
      <c r="Y138">
        <v>0.15</v>
      </c>
      <c r="Z138">
        <v>500.70897398836888</v>
      </c>
      <c r="AA138">
        <v>977.42183773919771</v>
      </c>
      <c r="AD138" t="s">
        <v>275</v>
      </c>
      <c r="AE138" t="s">
        <v>275</v>
      </c>
      <c r="AG138">
        <v>1919.2492</v>
      </c>
      <c r="AH138">
        <v>1919.2492</v>
      </c>
      <c r="AI138">
        <v>982.93632568718886</v>
      </c>
      <c r="AJ138">
        <v>982.93632568718886</v>
      </c>
      <c r="AK138">
        <v>980.96128715549798</v>
      </c>
      <c r="AM138">
        <v>83.255419236757803</v>
      </c>
    </row>
    <row r="139" spans="2:40" x14ac:dyDescent="0.3">
      <c r="B139" t="s">
        <v>276</v>
      </c>
      <c r="C139" s="2">
        <v>45952</v>
      </c>
      <c r="D139" t="s">
        <v>200</v>
      </c>
      <c r="E139">
        <v>8</v>
      </c>
      <c r="G139">
        <v>187</v>
      </c>
      <c r="J139">
        <v>25.2</v>
      </c>
      <c r="K139">
        <v>177.2</v>
      </c>
      <c r="L139">
        <v>30</v>
      </c>
      <c r="M139">
        <v>9.9412731062620593E-2</v>
      </c>
      <c r="N139">
        <v>2307.9313400000001</v>
      </c>
      <c r="O139">
        <v>2261.1399154302708</v>
      </c>
      <c r="P139">
        <v>925.53143456426778</v>
      </c>
      <c r="S139">
        <f t="shared" si="2"/>
        <v>0</v>
      </c>
      <c r="T139">
        <v>30</v>
      </c>
      <c r="V139">
        <v>4</v>
      </c>
      <c r="X139">
        <v>2.1</v>
      </c>
      <c r="Y139">
        <v>0.15</v>
      </c>
      <c r="Z139">
        <v>500.88490596594971</v>
      </c>
      <c r="AA139">
        <v>978.8137887708989</v>
      </c>
      <c r="AD139" t="s">
        <v>277</v>
      </c>
      <c r="AE139" t="s">
        <v>277</v>
      </c>
      <c r="AG139">
        <v>943.58839999999998</v>
      </c>
      <c r="AH139">
        <v>943.58839999999998</v>
      </c>
      <c r="AI139">
        <v>984.3353601636021</v>
      </c>
      <c r="AJ139">
        <v>984.3353601636021</v>
      </c>
      <c r="AK139">
        <v>982.35681295310155</v>
      </c>
      <c r="AM139">
        <v>40.932072723511631</v>
      </c>
    </row>
    <row r="140" spans="2:40" x14ac:dyDescent="0.3">
      <c r="B140" t="s">
        <v>278</v>
      </c>
      <c r="C140" s="2">
        <v>45952</v>
      </c>
      <c r="D140" t="s">
        <v>200</v>
      </c>
      <c r="E140">
        <v>9</v>
      </c>
      <c r="G140">
        <v>190</v>
      </c>
      <c r="J140">
        <v>25.2</v>
      </c>
      <c r="K140">
        <v>177</v>
      </c>
      <c r="L140">
        <v>30</v>
      </c>
      <c r="M140">
        <v>9.9412731062620593E-2</v>
      </c>
      <c r="N140">
        <v>2307.9313400000001</v>
      </c>
      <c r="O140">
        <v>2261.1399154302708</v>
      </c>
      <c r="P140">
        <v>911.74785002230612</v>
      </c>
      <c r="S140">
        <f t="shared" si="2"/>
        <v>0</v>
      </c>
      <c r="T140">
        <v>30</v>
      </c>
      <c r="V140">
        <v>4</v>
      </c>
      <c r="X140">
        <v>2.1</v>
      </c>
      <c r="Y140">
        <v>0.15</v>
      </c>
      <c r="Z140">
        <v>500.9685627279631</v>
      </c>
      <c r="AA140">
        <v>980.46208030232583</v>
      </c>
      <c r="AD140" t="s">
        <v>279</v>
      </c>
      <c r="AE140" t="s">
        <v>279</v>
      </c>
      <c r="AG140">
        <v>929.53589999999997</v>
      </c>
      <c r="AH140">
        <v>929.53589999999997</v>
      </c>
      <c r="AI140">
        <v>985.99200746585871</v>
      </c>
      <c r="AJ140">
        <v>985.99200746585871</v>
      </c>
      <c r="AK140">
        <v>984.01547420079146</v>
      </c>
      <c r="AM140">
        <v>40.322487069483721</v>
      </c>
    </row>
    <row r="141" spans="2:40" x14ac:dyDescent="0.3">
      <c r="B141" t="s">
        <v>280</v>
      </c>
      <c r="C141" s="2">
        <v>45952</v>
      </c>
      <c r="D141" t="s">
        <v>200</v>
      </c>
      <c r="E141">
        <v>10</v>
      </c>
      <c r="G141">
        <v>191</v>
      </c>
      <c r="J141">
        <v>25.1</v>
      </c>
      <c r="K141">
        <v>176.8</v>
      </c>
      <c r="L141">
        <v>30</v>
      </c>
      <c r="M141">
        <v>9.9412731062620593E-2</v>
      </c>
      <c r="N141">
        <v>2307.9313400000001</v>
      </c>
      <c r="O141">
        <v>2261.1399154302708</v>
      </c>
      <c r="P141">
        <v>1721.3885991418081</v>
      </c>
      <c r="S141">
        <f t="shared" si="2"/>
        <v>0</v>
      </c>
      <c r="T141">
        <v>5</v>
      </c>
      <c r="V141">
        <v>4</v>
      </c>
      <c r="X141">
        <v>2.1</v>
      </c>
      <c r="Y141">
        <v>0.15</v>
      </c>
      <c r="Z141">
        <v>500.37621045357611</v>
      </c>
      <c r="AA141">
        <v>977.16656983397274</v>
      </c>
      <c r="AD141" t="s">
        <v>281</v>
      </c>
      <c r="AE141" t="s">
        <v>281</v>
      </c>
      <c r="AG141">
        <v>1755.0239999999999</v>
      </c>
      <c r="AH141">
        <v>1755.0239999999999</v>
      </c>
      <c r="AI141">
        <v>982.68032584891864</v>
      </c>
      <c r="AJ141">
        <v>982.68032584891864</v>
      </c>
      <c r="AK141">
        <v>980.70279316543179</v>
      </c>
      <c r="AM141">
        <v>76.129238504652463</v>
      </c>
    </row>
    <row r="142" spans="2:40" x14ac:dyDescent="0.3">
      <c r="B142" t="s">
        <v>282</v>
      </c>
      <c r="C142" s="2">
        <v>45952</v>
      </c>
      <c r="D142" t="s">
        <v>200</v>
      </c>
      <c r="E142">
        <v>11</v>
      </c>
      <c r="J142">
        <v>25.2</v>
      </c>
      <c r="K142">
        <v>177.15</v>
      </c>
      <c r="L142">
        <v>30</v>
      </c>
      <c r="M142">
        <v>9.9412731062620593E-2</v>
      </c>
      <c r="N142">
        <v>2307.9313400000001</v>
      </c>
      <c r="O142">
        <v>2261.1399154302708</v>
      </c>
      <c r="S142">
        <f t="shared" si="2"/>
        <v>0</v>
      </c>
      <c r="V142">
        <v>4</v>
      </c>
      <c r="X142">
        <v>2.1</v>
      </c>
      <c r="Y142">
        <v>0.15</v>
      </c>
      <c r="Z142">
        <v>500.95361435409922</v>
      </c>
      <c r="AA142">
        <v>979.55623109875808</v>
      </c>
      <c r="AI142">
        <v>985.0815228219559</v>
      </c>
      <c r="AJ142">
        <v>985.0815228219559</v>
      </c>
      <c r="AK142">
        <v>983.10407642842051</v>
      </c>
    </row>
    <row r="143" spans="2:40" x14ac:dyDescent="0.3">
      <c r="B143" t="s">
        <v>283</v>
      </c>
      <c r="C143" s="2">
        <v>45952</v>
      </c>
      <c r="D143" t="s">
        <v>200</v>
      </c>
      <c r="E143">
        <v>12</v>
      </c>
      <c r="G143">
        <v>193</v>
      </c>
      <c r="J143">
        <v>25.2</v>
      </c>
      <c r="K143">
        <v>176.95</v>
      </c>
      <c r="L143">
        <v>30</v>
      </c>
      <c r="M143">
        <v>9.9412731062620593E-2</v>
      </c>
      <c r="N143">
        <v>2307.9313400000001</v>
      </c>
      <c r="O143">
        <v>2261.1399154302708</v>
      </c>
      <c r="P143">
        <v>1503.981371820101</v>
      </c>
      <c r="S143">
        <f t="shared" si="2"/>
        <v>0</v>
      </c>
      <c r="T143">
        <v>10</v>
      </c>
      <c r="V143">
        <v>4</v>
      </c>
      <c r="X143">
        <v>2.1</v>
      </c>
      <c r="Y143">
        <v>0.15</v>
      </c>
      <c r="Z143">
        <v>500.66913675266238</v>
      </c>
      <c r="AA143">
        <v>977.70731824536335</v>
      </c>
      <c r="AD143" t="s">
        <v>284</v>
      </c>
      <c r="AE143" t="s">
        <v>284</v>
      </c>
      <c r="AG143">
        <v>1533.3237999999999</v>
      </c>
      <c r="AH143">
        <v>1533.3237999999999</v>
      </c>
      <c r="AI143">
        <v>983.22266236329824</v>
      </c>
      <c r="AJ143">
        <v>983.22266236329824</v>
      </c>
      <c r="AK143">
        <v>981.25711442975251</v>
      </c>
      <c r="AM143">
        <v>66.514299338876143</v>
      </c>
    </row>
    <row r="144" spans="2:40" x14ac:dyDescent="0.3">
      <c r="B144" t="s">
        <v>285</v>
      </c>
      <c r="C144" s="2">
        <v>45952</v>
      </c>
      <c r="D144" t="s">
        <v>200</v>
      </c>
      <c r="E144">
        <v>13</v>
      </c>
      <c r="G144">
        <v>195</v>
      </c>
      <c r="J144">
        <v>25.2</v>
      </c>
      <c r="K144">
        <v>176.75</v>
      </c>
      <c r="L144">
        <v>30</v>
      </c>
      <c r="M144">
        <v>9.9412731062620593E-2</v>
      </c>
      <c r="N144">
        <v>2307.9313400000001</v>
      </c>
      <c r="O144">
        <v>2261.1399154302708</v>
      </c>
      <c r="P144">
        <v>377.26306000475017</v>
      </c>
      <c r="S144">
        <f t="shared" si="2"/>
        <v>0</v>
      </c>
      <c r="T144">
        <v>79</v>
      </c>
      <c r="V144">
        <v>4</v>
      </c>
      <c r="X144">
        <v>2.1</v>
      </c>
      <c r="Y144">
        <v>0.15</v>
      </c>
      <c r="Z144">
        <v>500.61108098509789</v>
      </c>
      <c r="AA144">
        <v>977.51955901668691</v>
      </c>
      <c r="AD144" t="s">
        <v>286</v>
      </c>
      <c r="AE144" t="s">
        <v>286</v>
      </c>
      <c r="AG144">
        <v>384.6234</v>
      </c>
      <c r="AH144">
        <v>384.6234</v>
      </c>
      <c r="AI144">
        <v>983.03416281850787</v>
      </c>
      <c r="AJ144">
        <v>983.03416281850787</v>
      </c>
      <c r="AK144">
        <v>981.06982682300395</v>
      </c>
      <c r="AM144">
        <v>16.684640230808579</v>
      </c>
    </row>
    <row r="145" spans="2:40" x14ac:dyDescent="0.3">
      <c r="B145" t="s">
        <v>287</v>
      </c>
      <c r="C145" s="2">
        <v>45952</v>
      </c>
      <c r="D145" t="s">
        <v>200</v>
      </c>
      <c r="E145">
        <v>14</v>
      </c>
      <c r="G145">
        <v>196</v>
      </c>
      <c r="J145">
        <v>25.2</v>
      </c>
      <c r="K145">
        <v>176.55</v>
      </c>
      <c r="L145">
        <v>30</v>
      </c>
      <c r="M145">
        <v>9.9412731062620593E-2</v>
      </c>
      <c r="N145">
        <v>2307.9313400000001</v>
      </c>
      <c r="O145">
        <v>2261.1399154302708</v>
      </c>
      <c r="P145">
        <v>1708.438055684177</v>
      </c>
      <c r="S145">
        <f t="shared" si="2"/>
        <v>0</v>
      </c>
      <c r="T145">
        <v>5</v>
      </c>
      <c r="V145">
        <v>4</v>
      </c>
      <c r="X145">
        <v>2.1</v>
      </c>
      <c r="Y145">
        <v>0.15</v>
      </c>
      <c r="Z145">
        <v>500.00137484793731</v>
      </c>
      <c r="AA145">
        <v>974.33499590464714</v>
      </c>
      <c r="AD145" t="s">
        <v>288</v>
      </c>
      <c r="AE145" t="s">
        <v>288</v>
      </c>
      <c r="AG145">
        <v>1741.7693999999999</v>
      </c>
      <c r="AH145">
        <v>1741.7693999999999</v>
      </c>
      <c r="AI145">
        <v>979.83311399519641</v>
      </c>
      <c r="AJ145">
        <v>979.83311399519641</v>
      </c>
      <c r="AK145">
        <v>977.86021280675254</v>
      </c>
      <c r="AM145">
        <v>75.556494493136199</v>
      </c>
    </row>
    <row r="146" spans="2:40" x14ac:dyDescent="0.3">
      <c r="B146" t="s">
        <v>289</v>
      </c>
      <c r="C146" s="2">
        <v>45953</v>
      </c>
      <c r="D146" t="s">
        <v>200</v>
      </c>
      <c r="E146">
        <v>15</v>
      </c>
      <c r="J146">
        <v>25.2</v>
      </c>
      <c r="K146">
        <v>177.15</v>
      </c>
      <c r="L146">
        <v>30</v>
      </c>
      <c r="M146">
        <v>9.9412731062620593E-2</v>
      </c>
      <c r="N146">
        <v>2291.5635000000002</v>
      </c>
      <c r="O146">
        <v>2245.1039200295691</v>
      </c>
      <c r="S146">
        <f t="shared" si="2"/>
        <v>0</v>
      </c>
      <c r="V146">
        <v>4</v>
      </c>
      <c r="W146">
        <v>1</v>
      </c>
      <c r="X146">
        <v>4.2</v>
      </c>
      <c r="Y146">
        <v>0.15</v>
      </c>
      <c r="Z146">
        <v>632.99952944619952</v>
      </c>
      <c r="AA146">
        <v>2315.1260805976221</v>
      </c>
      <c r="AB146">
        <v>2314.2759999999998</v>
      </c>
      <c r="AC146">
        <v>1.202</v>
      </c>
      <c r="AI146">
        <v>2328.6446696322942</v>
      </c>
      <c r="AJ146">
        <v>2328.6446696322942</v>
      </c>
      <c r="AK146">
        <v>2322.3035184594628</v>
      </c>
    </row>
    <row r="147" spans="2:40" x14ac:dyDescent="0.3">
      <c r="B147" t="s">
        <v>290</v>
      </c>
      <c r="C147" s="2">
        <v>45953</v>
      </c>
      <c r="D147" t="s">
        <v>38</v>
      </c>
      <c r="E147">
        <v>1</v>
      </c>
      <c r="F147">
        <v>0</v>
      </c>
      <c r="G147">
        <v>198</v>
      </c>
      <c r="H147" t="s">
        <v>291</v>
      </c>
      <c r="I147" t="s">
        <v>40</v>
      </c>
      <c r="J147">
        <v>24.8</v>
      </c>
      <c r="K147">
        <v>166.9</v>
      </c>
      <c r="L147">
        <v>30</v>
      </c>
      <c r="M147">
        <v>9.9412731062620593E-2</v>
      </c>
      <c r="N147">
        <v>2300</v>
      </c>
      <c r="O147">
        <v>2253.3693768765329</v>
      </c>
      <c r="P147">
        <v>1657.47881326588</v>
      </c>
      <c r="Q147">
        <v>1735.7372861829399</v>
      </c>
      <c r="R147">
        <v>1737.3726357061539</v>
      </c>
      <c r="S147">
        <f t="shared" si="2"/>
        <v>-1.6353495232140176</v>
      </c>
      <c r="T147">
        <v>0</v>
      </c>
      <c r="U147">
        <v>625</v>
      </c>
      <c r="V147">
        <v>4</v>
      </c>
      <c r="X147">
        <v>4.2</v>
      </c>
      <c r="Y147">
        <v>0.15</v>
      </c>
      <c r="Z147">
        <v>633.36127808162178</v>
      </c>
      <c r="AA147">
        <v>2351.328264374004</v>
      </c>
      <c r="AD147" t="s">
        <v>292</v>
      </c>
      <c r="AE147" t="s">
        <v>292</v>
      </c>
      <c r="AG147">
        <v>1690.0130999999999</v>
      </c>
      <c r="AH147">
        <v>1690.0130999999999</v>
      </c>
      <c r="AI147">
        <v>2351.5311506109761</v>
      </c>
      <c r="AJ147">
        <v>2351.5311506109761</v>
      </c>
      <c r="AK147">
        <v>2344.5946374570749</v>
      </c>
      <c r="AM147">
        <v>73.55557549838386</v>
      </c>
      <c r="AN147">
        <v>0.67162893413976665</v>
      </c>
    </row>
    <row r="148" spans="2:40" x14ac:dyDescent="0.3">
      <c r="B148" t="s">
        <v>293</v>
      </c>
      <c r="C148" s="2">
        <v>45953</v>
      </c>
      <c r="D148" t="s">
        <v>200</v>
      </c>
      <c r="E148">
        <v>2</v>
      </c>
      <c r="F148">
        <v>1</v>
      </c>
      <c r="G148">
        <v>199</v>
      </c>
      <c r="J148">
        <v>25</v>
      </c>
      <c r="K148">
        <v>177.35</v>
      </c>
      <c r="L148">
        <v>30</v>
      </c>
      <c r="M148">
        <v>9.9412731062620593E-2</v>
      </c>
      <c r="N148">
        <v>2291.5635000000002</v>
      </c>
      <c r="O148">
        <v>2245.1039200295691</v>
      </c>
      <c r="P148">
        <v>1688.8106753165389</v>
      </c>
      <c r="Q148">
        <v>1772.8659065072859</v>
      </c>
      <c r="R148">
        <v>1774.624569313781</v>
      </c>
      <c r="S148">
        <f t="shared" si="2"/>
        <v>-1.7586628064950673</v>
      </c>
      <c r="T148">
        <v>8.3330000000000001E-2</v>
      </c>
      <c r="U148">
        <v>599</v>
      </c>
      <c r="V148">
        <v>4</v>
      </c>
      <c r="W148">
        <v>1</v>
      </c>
      <c r="X148">
        <v>4.2</v>
      </c>
      <c r="Y148">
        <v>0.15</v>
      </c>
      <c r="Z148">
        <v>633.61240797517326</v>
      </c>
      <c r="AA148">
        <v>2313.4262137853939</v>
      </c>
      <c r="AB148">
        <v>2314.2759999999998</v>
      </c>
      <c r="AC148">
        <v>1.202</v>
      </c>
      <c r="AD148" t="s">
        <v>294</v>
      </c>
      <c r="AE148" t="s">
        <v>294</v>
      </c>
      <c r="AG148">
        <v>1721.8598</v>
      </c>
      <c r="AH148">
        <v>1721.8598</v>
      </c>
      <c r="AI148">
        <v>2326.9360845898041</v>
      </c>
      <c r="AJ148">
        <v>2326.9360845898041</v>
      </c>
      <c r="AK148">
        <v>2320.5929942794542</v>
      </c>
      <c r="AM148">
        <v>75.221937846614082</v>
      </c>
      <c r="AN148">
        <v>0.67162893413976665</v>
      </c>
    </row>
    <row r="149" spans="2:40" x14ac:dyDescent="0.3">
      <c r="B149" t="s">
        <v>295</v>
      </c>
      <c r="C149" s="2">
        <v>45953</v>
      </c>
      <c r="D149" t="s">
        <v>200</v>
      </c>
      <c r="E149">
        <v>3</v>
      </c>
      <c r="F149">
        <v>1</v>
      </c>
      <c r="G149">
        <v>200</v>
      </c>
      <c r="J149">
        <v>25</v>
      </c>
      <c r="K149">
        <v>177.65</v>
      </c>
      <c r="L149">
        <v>30</v>
      </c>
      <c r="M149">
        <v>9.9412731062620593E-2</v>
      </c>
      <c r="N149">
        <v>2291.5635000000002</v>
      </c>
      <c r="O149">
        <v>2245.1039200295691</v>
      </c>
      <c r="P149">
        <v>1795.9627660196591</v>
      </c>
      <c r="Q149">
        <v>1880.822453594491</v>
      </c>
      <c r="R149">
        <v>1882.595747200189</v>
      </c>
      <c r="S149">
        <f t="shared" si="2"/>
        <v>-1.7732936056979725</v>
      </c>
      <c r="T149">
        <v>0</v>
      </c>
      <c r="V149">
        <v>4</v>
      </c>
      <c r="X149">
        <v>3.6</v>
      </c>
      <c r="Y149">
        <v>0.15</v>
      </c>
      <c r="Z149">
        <v>634.16320296282811</v>
      </c>
      <c r="AA149">
        <v>2317.25743131946</v>
      </c>
      <c r="AD149" t="s">
        <v>296</v>
      </c>
      <c r="AE149" t="s">
        <v>296</v>
      </c>
      <c r="AG149">
        <v>1831.1088</v>
      </c>
      <c r="AH149">
        <v>1831.1088</v>
      </c>
      <c r="AI149">
        <v>2330.7803114936401</v>
      </c>
      <c r="AJ149">
        <v>2330.7803114936401</v>
      </c>
      <c r="AK149">
        <v>2324.472017707541</v>
      </c>
      <c r="AM149">
        <v>79.994638555350505</v>
      </c>
      <c r="AN149">
        <v>0.67186698010769297</v>
      </c>
    </row>
    <row r="150" spans="2:40" x14ac:dyDescent="0.3">
      <c r="B150" t="s">
        <v>297</v>
      </c>
      <c r="C150" s="2">
        <v>45953</v>
      </c>
      <c r="D150" t="s">
        <v>200</v>
      </c>
      <c r="E150">
        <v>4</v>
      </c>
      <c r="F150">
        <v>1</v>
      </c>
      <c r="G150">
        <v>201</v>
      </c>
      <c r="J150">
        <v>25.1</v>
      </c>
      <c r="K150">
        <v>177.95</v>
      </c>
      <c r="L150">
        <v>30</v>
      </c>
      <c r="M150">
        <v>9.9412731062620593E-2</v>
      </c>
      <c r="N150">
        <v>2291.5635000000002</v>
      </c>
      <c r="O150">
        <v>2245.1039200295691</v>
      </c>
      <c r="P150">
        <v>1847.5906500963131</v>
      </c>
      <c r="Q150">
        <v>1934.9097480683149</v>
      </c>
      <c r="R150">
        <v>1936.734435414148</v>
      </c>
      <c r="S150">
        <f t="shared" si="2"/>
        <v>-1.8246873458331265</v>
      </c>
      <c r="T150">
        <v>0</v>
      </c>
      <c r="V150">
        <v>4</v>
      </c>
      <c r="X150">
        <v>3</v>
      </c>
      <c r="Y150">
        <v>0.15</v>
      </c>
      <c r="Z150">
        <v>634.6168070204634</v>
      </c>
      <c r="AA150">
        <v>2315.3035269826928</v>
      </c>
      <c r="AD150" t="s">
        <v>298</v>
      </c>
      <c r="AE150" t="s">
        <v>298</v>
      </c>
      <c r="AG150">
        <v>1883.692</v>
      </c>
      <c r="AH150">
        <v>1883.692</v>
      </c>
      <c r="AI150">
        <v>2328.7515905866248</v>
      </c>
      <c r="AJ150">
        <v>2328.7515905866248</v>
      </c>
      <c r="AK150">
        <v>2322.704538771412</v>
      </c>
      <c r="AM150">
        <v>82.294215141363225</v>
      </c>
      <c r="AN150">
        <v>0.67250452073984412</v>
      </c>
    </row>
    <row r="151" spans="2:40" x14ac:dyDescent="0.3">
      <c r="B151" t="s">
        <v>299</v>
      </c>
      <c r="C151" s="2">
        <v>45953</v>
      </c>
      <c r="D151" t="s">
        <v>200</v>
      </c>
      <c r="E151">
        <v>5</v>
      </c>
      <c r="F151">
        <v>1</v>
      </c>
      <c r="G151">
        <v>202</v>
      </c>
      <c r="J151">
        <v>25.1</v>
      </c>
      <c r="K151">
        <v>177.7</v>
      </c>
      <c r="L151">
        <v>30</v>
      </c>
      <c r="M151">
        <v>9.9412731062620593E-2</v>
      </c>
      <c r="N151">
        <v>2291.5635000000002</v>
      </c>
      <c r="O151">
        <v>2245.1039200295691</v>
      </c>
      <c r="P151">
        <v>1923.4982392794029</v>
      </c>
      <c r="Q151">
        <v>2019.3270391437679</v>
      </c>
      <c r="R151">
        <v>2021.332036944003</v>
      </c>
      <c r="S151">
        <f t="shared" si="2"/>
        <v>-2.0049978002350599</v>
      </c>
      <c r="T151">
        <v>8.3333000000000004E-2</v>
      </c>
      <c r="V151">
        <v>4</v>
      </c>
      <c r="X151">
        <v>2.4</v>
      </c>
      <c r="Y151">
        <v>0.15</v>
      </c>
      <c r="AD151" t="s">
        <v>300</v>
      </c>
      <c r="AE151" t="s">
        <v>300</v>
      </c>
      <c r="AG151">
        <v>1961.0827999999999</v>
      </c>
      <c r="AH151">
        <v>1961.0827999999999</v>
      </c>
      <c r="AM151">
        <v>85.675243008531638</v>
      </c>
      <c r="AN151">
        <v>0.68287127333363307</v>
      </c>
    </row>
    <row r="152" spans="2:40" x14ac:dyDescent="0.3">
      <c r="B152" t="s">
        <v>301</v>
      </c>
      <c r="C152" s="2">
        <v>45953</v>
      </c>
      <c r="D152" t="s">
        <v>200</v>
      </c>
      <c r="E152">
        <v>6</v>
      </c>
      <c r="F152">
        <v>1</v>
      </c>
      <c r="G152">
        <v>203</v>
      </c>
      <c r="J152">
        <v>25.2</v>
      </c>
      <c r="K152">
        <v>177.75</v>
      </c>
      <c r="L152">
        <v>30</v>
      </c>
      <c r="M152">
        <v>9.9412731062620593E-2</v>
      </c>
      <c r="N152">
        <v>2291.5635000000002</v>
      </c>
      <c r="O152">
        <v>2245.1039200295691</v>
      </c>
      <c r="P152">
        <v>1990.07555459323</v>
      </c>
      <c r="Q152">
        <v>2073.623426228211</v>
      </c>
      <c r="R152">
        <v>2075.369307114343</v>
      </c>
      <c r="S152">
        <f t="shared" si="2"/>
        <v>-1.7458808861319994</v>
      </c>
      <c r="T152">
        <v>0</v>
      </c>
      <c r="V152">
        <v>4</v>
      </c>
      <c r="X152">
        <v>2.1</v>
      </c>
      <c r="Y152">
        <v>0.15</v>
      </c>
      <c r="Z152">
        <v>501.92613502055269</v>
      </c>
      <c r="AA152">
        <v>977.5735392304515</v>
      </c>
      <c r="AD152" t="s">
        <v>302</v>
      </c>
      <c r="AE152" t="s">
        <v>302</v>
      </c>
      <c r="AG152">
        <v>2028.9015999999999</v>
      </c>
      <c r="AH152">
        <v>2028.9015999999999</v>
      </c>
      <c r="AI152">
        <v>983.09052908228796</v>
      </c>
      <c r="AJ152">
        <v>983.09052908228796</v>
      </c>
      <c r="AK152">
        <v>981.11745867859997</v>
      </c>
      <c r="AM152">
        <v>88.640687713333989</v>
      </c>
      <c r="AN152">
        <v>10.544138849007091</v>
      </c>
    </row>
    <row r="153" spans="2:40" x14ac:dyDescent="0.3">
      <c r="B153" t="s">
        <v>303</v>
      </c>
      <c r="C153" s="2">
        <v>45953</v>
      </c>
      <c r="D153" t="s">
        <v>200</v>
      </c>
      <c r="E153">
        <v>7</v>
      </c>
      <c r="F153">
        <v>1</v>
      </c>
      <c r="G153">
        <v>204</v>
      </c>
      <c r="J153">
        <v>25.1</v>
      </c>
      <c r="K153">
        <v>177.5</v>
      </c>
      <c r="L153">
        <v>30</v>
      </c>
      <c r="M153">
        <v>9.9412731062620593E-2</v>
      </c>
      <c r="N153">
        <v>2291.5635000000002</v>
      </c>
      <c r="O153">
        <v>2245.1039200295691</v>
      </c>
      <c r="P153">
        <v>2046.183997506331</v>
      </c>
      <c r="Q153">
        <v>2118.2984501519868</v>
      </c>
      <c r="R153">
        <v>2119.805409479904</v>
      </c>
      <c r="S153">
        <f t="shared" si="2"/>
        <v>-1.5069593279172295</v>
      </c>
      <c r="T153">
        <v>0</v>
      </c>
      <c r="U153">
        <v>292</v>
      </c>
      <c r="V153">
        <v>4</v>
      </c>
      <c r="X153">
        <v>1.8</v>
      </c>
      <c r="Y153">
        <v>0.15</v>
      </c>
      <c r="Z153">
        <v>476.18904271466249</v>
      </c>
      <c r="AA153">
        <v>514.45173655129315</v>
      </c>
      <c r="AD153" t="s">
        <v>304</v>
      </c>
      <c r="AE153" t="s">
        <v>304</v>
      </c>
      <c r="AG153">
        <v>2086.1658000000002</v>
      </c>
      <c r="AH153">
        <v>2086.1658000000002</v>
      </c>
      <c r="AI153">
        <v>453.54755474989628</v>
      </c>
      <c r="AJ153">
        <v>453.54755474989628</v>
      </c>
      <c r="AK153">
        <v>453.04402919435978</v>
      </c>
      <c r="AM153">
        <v>91.139834519525579</v>
      </c>
      <c r="AN153">
        <v>23.730698120800248</v>
      </c>
    </row>
    <row r="154" spans="2:40" x14ac:dyDescent="0.3">
      <c r="B154" t="s">
        <v>305</v>
      </c>
      <c r="C154" s="2">
        <v>45953</v>
      </c>
      <c r="D154" t="s">
        <v>200</v>
      </c>
      <c r="E154">
        <v>8</v>
      </c>
      <c r="F154">
        <v>1</v>
      </c>
      <c r="G154">
        <v>205</v>
      </c>
      <c r="J154">
        <v>25.1</v>
      </c>
      <c r="K154">
        <v>177.3</v>
      </c>
      <c r="L154">
        <v>30</v>
      </c>
      <c r="M154">
        <v>9.9412731062620593E-2</v>
      </c>
      <c r="N154">
        <v>2291.5635000000002</v>
      </c>
      <c r="O154">
        <v>2245.1039200295691</v>
      </c>
      <c r="P154">
        <v>2074.647136571708</v>
      </c>
      <c r="Q154">
        <v>2140.623517699742</v>
      </c>
      <c r="R154">
        <v>2142.0056345325229</v>
      </c>
      <c r="S154">
        <f t="shared" si="2"/>
        <v>-1.3821168327808664</v>
      </c>
      <c r="T154">
        <v>0.16666600000000001</v>
      </c>
      <c r="U154">
        <v>270</v>
      </c>
      <c r="V154">
        <v>4</v>
      </c>
      <c r="X154">
        <v>1.5</v>
      </c>
      <c r="Y154">
        <v>0.15</v>
      </c>
      <c r="Z154">
        <v>469.62064892951958</v>
      </c>
      <c r="AA154">
        <v>384.12909073052867</v>
      </c>
      <c r="AD154" t="s">
        <v>306</v>
      </c>
      <c r="AE154" t="s">
        <v>306</v>
      </c>
      <c r="AG154">
        <v>2115.1851000000001</v>
      </c>
      <c r="AH154">
        <v>2115.1851000000001</v>
      </c>
      <c r="AI154">
        <v>386.17889845259361</v>
      </c>
      <c r="AJ154">
        <v>386.17889845259361</v>
      </c>
      <c r="AK154">
        <v>385.81871083191248</v>
      </c>
      <c r="AM154">
        <v>92.407621672335949</v>
      </c>
      <c r="AN154">
        <v>36.747172407713528</v>
      </c>
    </row>
    <row r="155" spans="2:40" x14ac:dyDescent="0.3">
      <c r="B155" t="s">
        <v>307</v>
      </c>
      <c r="C155" s="2">
        <v>45953</v>
      </c>
      <c r="D155" t="s">
        <v>200</v>
      </c>
      <c r="E155">
        <v>9</v>
      </c>
      <c r="F155">
        <v>2</v>
      </c>
      <c r="G155">
        <v>206</v>
      </c>
      <c r="J155">
        <v>25.1</v>
      </c>
      <c r="K155">
        <v>177.15</v>
      </c>
      <c r="L155">
        <v>30</v>
      </c>
      <c r="M155">
        <v>9.9412731062620593E-2</v>
      </c>
      <c r="N155">
        <v>2291.5635000000002</v>
      </c>
      <c r="O155">
        <v>2245.1039200295691</v>
      </c>
      <c r="P155">
        <v>2088.176085101496</v>
      </c>
      <c r="Q155">
        <v>2170.2135607426608</v>
      </c>
      <c r="R155">
        <v>2171.9578263640519</v>
      </c>
      <c r="S155">
        <f t="shared" si="2"/>
        <v>-1.7442656213911505</v>
      </c>
      <c r="T155">
        <v>1.166666</v>
      </c>
      <c r="U155">
        <v>219</v>
      </c>
      <c r="V155">
        <v>4</v>
      </c>
      <c r="X155">
        <v>1.2</v>
      </c>
      <c r="Y155">
        <v>0.15</v>
      </c>
      <c r="Z155">
        <v>460.6942366928713</v>
      </c>
      <c r="AA155">
        <v>231.97294556176911</v>
      </c>
      <c r="AD155" t="s">
        <v>308</v>
      </c>
      <c r="AE155" t="s">
        <v>308</v>
      </c>
      <c r="AG155">
        <v>2128.9784</v>
      </c>
      <c r="AH155">
        <v>2128.9784</v>
      </c>
      <c r="AI155">
        <v>233.0809691335462</v>
      </c>
      <c r="AJ155">
        <v>233.0809691335462</v>
      </c>
      <c r="AK155">
        <v>233.3357860779478</v>
      </c>
      <c r="AM155">
        <v>93.010219548055218</v>
      </c>
      <c r="AN155">
        <v>49.61705816260141</v>
      </c>
    </row>
    <row r="156" spans="2:40" x14ac:dyDescent="0.3">
      <c r="B156" t="s">
        <v>309</v>
      </c>
      <c r="C156" s="2">
        <v>45953</v>
      </c>
      <c r="D156" t="s">
        <v>200</v>
      </c>
      <c r="E156">
        <v>10</v>
      </c>
      <c r="F156">
        <v>1</v>
      </c>
      <c r="G156">
        <v>207</v>
      </c>
      <c r="J156">
        <v>25.1</v>
      </c>
      <c r="K156">
        <v>177.1</v>
      </c>
      <c r="L156">
        <v>30</v>
      </c>
      <c r="M156">
        <v>9.9412731062620593E-2</v>
      </c>
      <c r="N156">
        <v>2291.5635000000002</v>
      </c>
      <c r="O156">
        <v>2245.1039200295691</v>
      </c>
      <c r="P156">
        <v>2110.2330978930599</v>
      </c>
      <c r="Q156">
        <v>2157.7062308030299</v>
      </c>
      <c r="R156">
        <v>2158.6982660725162</v>
      </c>
      <c r="S156">
        <f t="shared" si="2"/>
        <v>-0.99203526948622311</v>
      </c>
      <c r="T156">
        <v>0</v>
      </c>
      <c r="U156">
        <v>219</v>
      </c>
      <c r="V156">
        <v>4</v>
      </c>
      <c r="X156">
        <v>1.2</v>
      </c>
      <c r="Y156">
        <v>0.15</v>
      </c>
      <c r="Z156">
        <v>460.44526261766021</v>
      </c>
      <c r="AA156">
        <v>231.06013297412639</v>
      </c>
      <c r="AD156" t="s">
        <v>310</v>
      </c>
      <c r="AE156" t="s">
        <v>310</v>
      </c>
      <c r="AG156">
        <v>2151.4663999999998</v>
      </c>
      <c r="AH156">
        <v>2151.4663999999998</v>
      </c>
      <c r="AI156">
        <v>232.163723657151</v>
      </c>
      <c r="AJ156">
        <v>232.163723657151</v>
      </c>
      <c r="AK156">
        <v>232.4177804278373</v>
      </c>
      <c r="AM156">
        <v>93.99266907276467</v>
      </c>
      <c r="AN156">
        <v>49.61705816260141</v>
      </c>
    </row>
    <row r="157" spans="2:40" x14ac:dyDescent="0.3">
      <c r="B157" t="s">
        <v>311</v>
      </c>
      <c r="C157" s="2">
        <v>45953</v>
      </c>
      <c r="D157" t="s">
        <v>200</v>
      </c>
      <c r="E157">
        <v>11</v>
      </c>
      <c r="F157">
        <v>1</v>
      </c>
      <c r="G157">
        <v>208</v>
      </c>
      <c r="J157">
        <v>25.1</v>
      </c>
      <c r="K157">
        <v>175.6</v>
      </c>
      <c r="L157">
        <v>30</v>
      </c>
      <c r="M157">
        <v>9.9412731062620593E-2</v>
      </c>
      <c r="N157">
        <v>2291.5635000000002</v>
      </c>
      <c r="O157">
        <v>2245.1039200295691</v>
      </c>
      <c r="P157">
        <v>2181.8628742164419</v>
      </c>
      <c r="Q157">
        <v>2205.598343709356</v>
      </c>
      <c r="R157">
        <v>2206.0943384211309</v>
      </c>
      <c r="S157">
        <f t="shared" si="2"/>
        <v>-0.49599471177498344</v>
      </c>
      <c r="T157">
        <v>0</v>
      </c>
      <c r="U157">
        <v>114</v>
      </c>
      <c r="V157">
        <v>4</v>
      </c>
      <c r="X157">
        <v>0.6</v>
      </c>
      <c r="Y157">
        <v>0.15</v>
      </c>
      <c r="Z157">
        <v>450.17867957667778</v>
      </c>
      <c r="AA157">
        <v>120.5042488561443</v>
      </c>
      <c r="AD157" t="s">
        <v>312</v>
      </c>
      <c r="AE157" t="s">
        <v>312</v>
      </c>
      <c r="AG157">
        <v>2224.4958000000001</v>
      </c>
      <c r="AH157">
        <v>2224.4958000000001</v>
      </c>
      <c r="AI157">
        <v>120.90418949824119</v>
      </c>
      <c r="AJ157">
        <v>120.90418949824119</v>
      </c>
      <c r="AK157">
        <v>121.68005835597501</v>
      </c>
      <c r="AM157">
        <v>97.183157302923675</v>
      </c>
      <c r="AN157">
        <v>74.996377235447184</v>
      </c>
    </row>
    <row r="158" spans="2:40" x14ac:dyDescent="0.3">
      <c r="B158" t="s">
        <v>313</v>
      </c>
      <c r="C158" s="2">
        <v>45953</v>
      </c>
      <c r="D158" t="s">
        <v>200</v>
      </c>
      <c r="E158">
        <v>12</v>
      </c>
      <c r="F158">
        <v>1</v>
      </c>
      <c r="G158">
        <v>209</v>
      </c>
      <c r="J158">
        <v>25.1</v>
      </c>
      <c r="L158">
        <v>30</v>
      </c>
      <c r="M158">
        <v>9.9412731062620593E-2</v>
      </c>
      <c r="N158">
        <v>2291.5635000000002</v>
      </c>
      <c r="O158">
        <v>2245.1039200295691</v>
      </c>
      <c r="P158">
        <v>2236.5688366296481</v>
      </c>
      <c r="Q158">
        <v>2242.81790761191</v>
      </c>
      <c r="R158">
        <v>2242.9484930280369</v>
      </c>
      <c r="S158">
        <f t="shared" si="2"/>
        <v>-0.13058541612690533</v>
      </c>
      <c r="T158">
        <v>0</v>
      </c>
      <c r="U158">
        <v>0</v>
      </c>
      <c r="V158">
        <v>4</v>
      </c>
      <c r="X158">
        <v>0.15</v>
      </c>
      <c r="Y158">
        <v>0.15</v>
      </c>
      <c r="AD158" t="s">
        <v>314</v>
      </c>
      <c r="AE158" t="s">
        <v>314</v>
      </c>
      <c r="AG158">
        <v>2280.2707</v>
      </c>
      <c r="AH158">
        <v>2280.2707</v>
      </c>
      <c r="AM158">
        <v>99.61983570899433</v>
      </c>
      <c r="AN158">
        <v>93.778503455133404</v>
      </c>
    </row>
    <row r="159" spans="2:40" x14ac:dyDescent="0.3">
      <c r="B159" t="s">
        <v>315</v>
      </c>
      <c r="C159" s="2">
        <v>45953</v>
      </c>
      <c r="D159" t="s">
        <v>200</v>
      </c>
      <c r="E159">
        <v>13</v>
      </c>
      <c r="F159">
        <v>2</v>
      </c>
      <c r="G159">
        <v>211</v>
      </c>
      <c r="J159">
        <v>25.1</v>
      </c>
      <c r="L159">
        <v>30</v>
      </c>
      <c r="M159">
        <v>9.9412731062620593E-2</v>
      </c>
      <c r="N159">
        <v>2291.5635000000002</v>
      </c>
      <c r="O159">
        <v>2245.1039200295691</v>
      </c>
      <c r="P159">
        <v>2225.4638251201281</v>
      </c>
      <c r="Q159">
        <v>2224.527965557711</v>
      </c>
      <c r="R159">
        <v>2224.5084091131221</v>
      </c>
      <c r="S159">
        <f t="shared" si="2"/>
        <v>1.9556444588943123E-2</v>
      </c>
      <c r="T159">
        <v>0</v>
      </c>
      <c r="U159">
        <v>0</v>
      </c>
      <c r="V159">
        <v>4</v>
      </c>
      <c r="X159">
        <v>0</v>
      </c>
      <c r="Y159">
        <v>0.15</v>
      </c>
      <c r="AD159" t="s">
        <v>316</v>
      </c>
      <c r="AE159" t="s">
        <v>316</v>
      </c>
      <c r="AG159">
        <v>2268.9486999999999</v>
      </c>
      <c r="AH159">
        <v>2268.9486999999999</v>
      </c>
      <c r="AM159">
        <v>99.125203304211311</v>
      </c>
      <c r="AN159">
        <v>100</v>
      </c>
    </row>
    <row r="160" spans="2:40" x14ac:dyDescent="0.3">
      <c r="B160" t="s">
        <v>317</v>
      </c>
      <c r="C160" s="2">
        <v>45953</v>
      </c>
      <c r="D160" t="s">
        <v>200</v>
      </c>
      <c r="E160">
        <v>14</v>
      </c>
      <c r="F160">
        <v>2</v>
      </c>
      <c r="G160">
        <v>213</v>
      </c>
      <c r="J160">
        <v>25.1</v>
      </c>
      <c r="L160">
        <v>30</v>
      </c>
      <c r="M160">
        <v>9.9412731062620593E-2</v>
      </c>
      <c r="N160">
        <v>2291.5635000000002</v>
      </c>
      <c r="O160">
        <v>2245.1039200295691</v>
      </c>
      <c r="P160">
        <v>2100.823263153713</v>
      </c>
      <c r="Q160">
        <v>2045.002887320293</v>
      </c>
      <c r="R160">
        <v>2041.742804314023</v>
      </c>
      <c r="S160">
        <f t="shared" si="2"/>
        <v>3.2600830062699515</v>
      </c>
      <c r="T160">
        <v>86</v>
      </c>
      <c r="U160">
        <v>0</v>
      </c>
      <c r="V160">
        <v>4</v>
      </c>
      <c r="X160">
        <v>0.15</v>
      </c>
      <c r="Y160">
        <v>0.15</v>
      </c>
      <c r="AD160" t="s">
        <v>318</v>
      </c>
      <c r="AE160" t="s">
        <v>318</v>
      </c>
      <c r="AG160">
        <v>2141.8726999999999</v>
      </c>
      <c r="AH160">
        <v>2141.8726999999999</v>
      </c>
      <c r="AM160">
        <v>93.573542160402269</v>
      </c>
      <c r="AN160">
        <v>93.778503455133404</v>
      </c>
    </row>
    <row r="161" spans="2:40" x14ac:dyDescent="0.3">
      <c r="B161" t="s">
        <v>319</v>
      </c>
      <c r="C161" s="2">
        <v>45953</v>
      </c>
      <c r="D161" t="s">
        <v>200</v>
      </c>
      <c r="E161">
        <v>15</v>
      </c>
      <c r="F161">
        <v>2</v>
      </c>
      <c r="G161">
        <v>214</v>
      </c>
      <c r="J161">
        <v>25.1</v>
      </c>
      <c r="L161">
        <v>30</v>
      </c>
      <c r="M161">
        <v>9.9412731062620593E-2</v>
      </c>
      <c r="N161">
        <v>2291.5635000000002</v>
      </c>
      <c r="O161">
        <v>2245.1039200295691</v>
      </c>
      <c r="P161">
        <v>2232.4895447317422</v>
      </c>
      <c r="Q161">
        <v>2238.5442355774439</v>
      </c>
      <c r="R161">
        <v>2238.6707590760329</v>
      </c>
      <c r="S161">
        <f t="shared" si="2"/>
        <v>-0.1265234985889947</v>
      </c>
      <c r="T161">
        <v>0</v>
      </c>
      <c r="U161">
        <v>0</v>
      </c>
      <c r="V161">
        <v>4</v>
      </c>
      <c r="X161">
        <v>0.15</v>
      </c>
      <c r="Y161">
        <v>0.15</v>
      </c>
      <c r="AD161" t="s">
        <v>320</v>
      </c>
      <c r="AE161" t="s">
        <v>320</v>
      </c>
      <c r="AG161">
        <v>2276.1116999999999</v>
      </c>
      <c r="AH161">
        <v>2276.1116999999999</v>
      </c>
      <c r="AM161">
        <v>99.438138467209086</v>
      </c>
      <c r="AN161">
        <v>93.778503455133404</v>
      </c>
    </row>
    <row r="162" spans="2:40" x14ac:dyDescent="0.3">
      <c r="B162" t="s">
        <v>321</v>
      </c>
      <c r="C162" s="2">
        <v>45957</v>
      </c>
      <c r="D162" t="s">
        <v>200</v>
      </c>
      <c r="E162">
        <v>16</v>
      </c>
      <c r="F162">
        <v>2</v>
      </c>
      <c r="G162">
        <v>215</v>
      </c>
      <c r="J162">
        <v>25.1</v>
      </c>
      <c r="L162">
        <v>30</v>
      </c>
      <c r="M162">
        <v>9.9412731062620593E-2</v>
      </c>
      <c r="N162">
        <v>2288.2105299999998</v>
      </c>
      <c r="O162">
        <v>2241.818928760184</v>
      </c>
      <c r="P162">
        <v>2242.0296343314012</v>
      </c>
      <c r="S162">
        <f t="shared" si="2"/>
        <v>0</v>
      </c>
      <c r="T162">
        <v>0</v>
      </c>
      <c r="U162">
        <v>0</v>
      </c>
      <c r="V162">
        <v>4</v>
      </c>
      <c r="X162">
        <v>0</v>
      </c>
      <c r="Y162">
        <v>0.15</v>
      </c>
      <c r="AD162" t="s">
        <v>322</v>
      </c>
      <c r="AE162" t="s">
        <v>322</v>
      </c>
      <c r="AG162">
        <v>2285.8382000000001</v>
      </c>
      <c r="AH162">
        <v>2285.8382000000001</v>
      </c>
      <c r="AM162">
        <v>100.0093988666308</v>
      </c>
    </row>
    <row r="163" spans="2:40" x14ac:dyDescent="0.3">
      <c r="B163" t="s">
        <v>323</v>
      </c>
      <c r="C163" s="2">
        <v>45957</v>
      </c>
      <c r="D163" t="s">
        <v>200</v>
      </c>
      <c r="E163">
        <v>1</v>
      </c>
      <c r="F163">
        <v>1</v>
      </c>
      <c r="G163">
        <v>229</v>
      </c>
      <c r="J163">
        <v>25.1</v>
      </c>
      <c r="K163">
        <v>174.05</v>
      </c>
      <c r="L163">
        <v>30</v>
      </c>
      <c r="M163">
        <v>9.9412731062620593E-2</v>
      </c>
      <c r="N163">
        <v>2288.2105299999998</v>
      </c>
      <c r="O163">
        <v>2241.818928760184</v>
      </c>
      <c r="P163">
        <v>1683.4587369191761</v>
      </c>
      <c r="S163">
        <f t="shared" si="2"/>
        <v>0</v>
      </c>
      <c r="T163">
        <v>0</v>
      </c>
      <c r="U163">
        <v>613</v>
      </c>
      <c r="V163">
        <v>4</v>
      </c>
      <c r="X163">
        <v>4.2</v>
      </c>
      <c r="Y163">
        <v>0.15</v>
      </c>
      <c r="Z163">
        <v>633.02464870918345</v>
      </c>
      <c r="AA163">
        <v>2309.4284341696812</v>
      </c>
      <c r="AD163" t="s">
        <v>324</v>
      </c>
      <c r="AE163" t="s">
        <v>324</v>
      </c>
      <c r="AG163">
        <v>1716.3530000000001</v>
      </c>
      <c r="AH163">
        <v>1716.3530000000001</v>
      </c>
      <c r="AI163">
        <v>2322.9162139090072</v>
      </c>
      <c r="AJ163">
        <v>2322.9162139090072</v>
      </c>
      <c r="AK163">
        <v>2316.5795261433459</v>
      </c>
      <c r="AM163">
        <v>75.093430398065038</v>
      </c>
    </row>
    <row r="164" spans="2:40" x14ac:dyDescent="0.3">
      <c r="B164" t="s">
        <v>325</v>
      </c>
      <c r="C164" s="2">
        <v>45957</v>
      </c>
      <c r="D164" t="s">
        <v>200</v>
      </c>
      <c r="E164">
        <v>2</v>
      </c>
      <c r="F164">
        <v>1</v>
      </c>
      <c r="G164">
        <v>231</v>
      </c>
      <c r="J164">
        <v>25</v>
      </c>
      <c r="K164">
        <v>173.35</v>
      </c>
      <c r="L164">
        <v>30</v>
      </c>
      <c r="M164">
        <v>9.9412731062620593E-2</v>
      </c>
      <c r="N164">
        <v>2288.2105299999998</v>
      </c>
      <c r="O164">
        <v>2241.818928760184</v>
      </c>
      <c r="P164">
        <v>1736.365355573274</v>
      </c>
      <c r="S164">
        <f t="shared" si="2"/>
        <v>0</v>
      </c>
      <c r="T164">
        <v>0</v>
      </c>
      <c r="U164">
        <v>560</v>
      </c>
      <c r="V164">
        <v>4</v>
      </c>
      <c r="X164">
        <v>3.75</v>
      </c>
      <c r="Y164">
        <v>0.15</v>
      </c>
      <c r="Z164">
        <v>632.85511650543901</v>
      </c>
      <c r="AA164">
        <v>2313.2649467618899</v>
      </c>
      <c r="AD164" t="s">
        <v>326</v>
      </c>
      <c r="AE164" t="s">
        <v>326</v>
      </c>
      <c r="AG164">
        <v>1770.3451</v>
      </c>
      <c r="AH164">
        <v>1770.3451</v>
      </c>
      <c r="AI164">
        <v>2326.7738470164022</v>
      </c>
      <c r="AJ164">
        <v>2326.7738470164022</v>
      </c>
      <c r="AK164">
        <v>2320.4312270063692</v>
      </c>
      <c r="AM164">
        <v>77.453416656337794</v>
      </c>
    </row>
    <row r="165" spans="2:40" x14ac:dyDescent="0.3">
      <c r="B165" t="s">
        <v>327</v>
      </c>
      <c r="C165" s="2">
        <v>45957</v>
      </c>
      <c r="D165" t="s">
        <v>200</v>
      </c>
      <c r="E165">
        <v>3</v>
      </c>
      <c r="F165">
        <v>1</v>
      </c>
      <c r="G165">
        <v>232</v>
      </c>
      <c r="J165">
        <v>25</v>
      </c>
      <c r="K165">
        <v>173.55</v>
      </c>
      <c r="L165">
        <v>30</v>
      </c>
      <c r="M165">
        <v>9.9412731062620593E-2</v>
      </c>
      <c r="N165">
        <v>2288.2105299999998</v>
      </c>
      <c r="O165">
        <v>2241.818928760184</v>
      </c>
      <c r="P165">
        <v>1796.8840372331019</v>
      </c>
      <c r="S165">
        <f t="shared" si="2"/>
        <v>0</v>
      </c>
      <c r="T165">
        <v>0</v>
      </c>
      <c r="U165">
        <v>489</v>
      </c>
      <c r="V165">
        <v>4</v>
      </c>
      <c r="X165">
        <v>3.3</v>
      </c>
      <c r="Y165">
        <v>0.15</v>
      </c>
      <c r="Z165">
        <v>632.98964870847863</v>
      </c>
      <c r="AA165">
        <v>2316.93856189907</v>
      </c>
      <c r="AD165" t="s">
        <v>328</v>
      </c>
      <c r="AE165" t="s">
        <v>328</v>
      </c>
      <c r="AG165">
        <v>1832.0481</v>
      </c>
      <c r="AH165">
        <v>1832.0481</v>
      </c>
      <c r="AI165">
        <v>2330.4365331205881</v>
      </c>
      <c r="AJ165">
        <v>2330.4365331205881</v>
      </c>
      <c r="AK165">
        <v>2324.2289465347731</v>
      </c>
      <c r="AM165">
        <v>80.152951435147841</v>
      </c>
    </row>
    <row r="166" spans="2:40" x14ac:dyDescent="0.3">
      <c r="B166" t="s">
        <v>329</v>
      </c>
      <c r="C166" s="2">
        <v>45957</v>
      </c>
      <c r="D166" t="s">
        <v>200</v>
      </c>
      <c r="E166">
        <v>4</v>
      </c>
      <c r="F166">
        <v>2</v>
      </c>
      <c r="G166">
        <v>233</v>
      </c>
      <c r="J166">
        <v>25</v>
      </c>
      <c r="K166">
        <v>173.3</v>
      </c>
      <c r="L166">
        <v>30</v>
      </c>
      <c r="M166">
        <v>9.9412731062620593E-2</v>
      </c>
      <c r="N166">
        <v>2288.2105299999998</v>
      </c>
      <c r="O166">
        <v>2241.818928760184</v>
      </c>
      <c r="P166">
        <v>1818.807310462362</v>
      </c>
      <c r="S166">
        <f t="shared" si="2"/>
        <v>0</v>
      </c>
      <c r="T166">
        <v>0.5</v>
      </c>
      <c r="V166">
        <v>4</v>
      </c>
      <c r="X166">
        <v>2.85</v>
      </c>
      <c r="Y166">
        <v>0.15</v>
      </c>
      <c r="Z166">
        <v>633.11676311268445</v>
      </c>
      <c r="AA166">
        <v>2316.5076493915299</v>
      </c>
      <c r="AD166" t="s">
        <v>330</v>
      </c>
      <c r="AE166" t="s">
        <v>330</v>
      </c>
      <c r="AG166">
        <v>1854.4004</v>
      </c>
      <c r="AH166">
        <v>1854.4004</v>
      </c>
      <c r="AI166">
        <v>2329.929586462611</v>
      </c>
      <c r="AJ166">
        <v>2329.929586462611</v>
      </c>
      <c r="AK166">
        <v>2324.0019912290318</v>
      </c>
      <c r="AM166">
        <v>81.130874894888848</v>
      </c>
    </row>
    <row r="167" spans="2:40" x14ac:dyDescent="0.3">
      <c r="B167" t="s">
        <v>331</v>
      </c>
      <c r="C167" s="2">
        <v>45957</v>
      </c>
      <c r="D167" t="s">
        <v>200</v>
      </c>
      <c r="E167">
        <v>5</v>
      </c>
      <c r="F167">
        <v>1</v>
      </c>
      <c r="G167">
        <v>234</v>
      </c>
      <c r="J167">
        <v>25</v>
      </c>
      <c r="K167">
        <v>173.25</v>
      </c>
      <c r="L167">
        <v>30</v>
      </c>
      <c r="M167">
        <v>9.9412731062620593E-2</v>
      </c>
      <c r="N167">
        <v>2288.2105299999998</v>
      </c>
      <c r="O167">
        <v>2241.818928760184</v>
      </c>
      <c r="P167">
        <v>1857.8296638085189</v>
      </c>
      <c r="S167">
        <f t="shared" si="2"/>
        <v>0</v>
      </c>
      <c r="T167">
        <v>0</v>
      </c>
      <c r="U167">
        <v>434</v>
      </c>
      <c r="V167">
        <v>4</v>
      </c>
      <c r="X167">
        <v>2.85</v>
      </c>
      <c r="Y167">
        <v>0.15</v>
      </c>
      <c r="Z167">
        <v>632.95742534313422</v>
      </c>
      <c r="AA167">
        <v>2317.879819030617</v>
      </c>
      <c r="AD167" t="s">
        <v>332</v>
      </c>
      <c r="AE167" t="s">
        <v>332</v>
      </c>
      <c r="AG167">
        <v>1894.1864</v>
      </c>
      <c r="AH167">
        <v>1894.1864</v>
      </c>
      <c r="AI167">
        <v>2331.307921034786</v>
      </c>
      <c r="AJ167">
        <v>2331.307921034786</v>
      </c>
      <c r="AK167">
        <v>2325.3813111871459</v>
      </c>
      <c r="AM167">
        <v>82.871530790221911</v>
      </c>
    </row>
    <row r="168" spans="2:40" x14ac:dyDescent="0.3">
      <c r="B168" t="s">
        <v>333</v>
      </c>
      <c r="C168" s="2">
        <v>45957</v>
      </c>
      <c r="D168" t="s">
        <v>200</v>
      </c>
      <c r="E168">
        <v>6</v>
      </c>
      <c r="F168">
        <v>1</v>
      </c>
      <c r="G168">
        <v>235</v>
      </c>
      <c r="J168">
        <v>25</v>
      </c>
      <c r="K168">
        <v>173.2</v>
      </c>
      <c r="L168">
        <v>30</v>
      </c>
      <c r="M168">
        <v>9.9412731062620593E-2</v>
      </c>
      <c r="N168">
        <v>2288.2105299999998</v>
      </c>
      <c r="O168">
        <v>2241.818928760184</v>
      </c>
      <c r="P168">
        <v>1917.4534579402471</v>
      </c>
      <c r="S168">
        <f t="shared" si="2"/>
        <v>0</v>
      </c>
      <c r="T168">
        <v>0</v>
      </c>
      <c r="U168">
        <v>370</v>
      </c>
      <c r="V168">
        <v>4</v>
      </c>
      <c r="X168">
        <v>2.4</v>
      </c>
      <c r="Y168">
        <v>0.15</v>
      </c>
      <c r="AD168" t="s">
        <v>334</v>
      </c>
      <c r="AE168" t="s">
        <v>334</v>
      </c>
      <c r="AG168">
        <v>1954.9770000000001</v>
      </c>
      <c r="AH168">
        <v>1954.9770000000001</v>
      </c>
      <c r="AM168">
        <v>85.531147647177548</v>
      </c>
    </row>
    <row r="169" spans="2:40" x14ac:dyDescent="0.3">
      <c r="B169" t="s">
        <v>335</v>
      </c>
      <c r="C169" s="2">
        <v>45957</v>
      </c>
      <c r="D169" t="s">
        <v>200</v>
      </c>
      <c r="E169">
        <v>7</v>
      </c>
      <c r="F169">
        <v>1</v>
      </c>
      <c r="G169">
        <v>236</v>
      </c>
      <c r="J169">
        <v>25</v>
      </c>
      <c r="K169">
        <v>173.3</v>
      </c>
      <c r="L169">
        <v>30</v>
      </c>
      <c r="M169">
        <v>9.9412731062620593E-2</v>
      </c>
      <c r="N169">
        <v>2288.2105299999998</v>
      </c>
      <c r="O169">
        <v>2241.818928760184</v>
      </c>
      <c r="P169">
        <v>1999.8970801997841</v>
      </c>
      <c r="S169">
        <f t="shared" si="2"/>
        <v>0</v>
      </c>
      <c r="T169">
        <v>0</v>
      </c>
      <c r="U169">
        <v>300</v>
      </c>
      <c r="V169">
        <v>4</v>
      </c>
      <c r="X169">
        <v>1.95</v>
      </c>
      <c r="Y169">
        <v>0.15</v>
      </c>
      <c r="Z169">
        <v>480.24159070079099</v>
      </c>
      <c r="AA169">
        <v>604.13859573153638</v>
      </c>
      <c r="AD169" t="s">
        <v>336</v>
      </c>
      <c r="AE169" t="s">
        <v>336</v>
      </c>
      <c r="AG169">
        <v>2039.0340000000001</v>
      </c>
      <c r="AH169">
        <v>2039.0340000000001</v>
      </c>
      <c r="AI169">
        <v>607.48216485109117</v>
      </c>
      <c r="AJ169">
        <v>607.48216485109117</v>
      </c>
      <c r="AK169">
        <v>606.48577836476932</v>
      </c>
      <c r="AM169">
        <v>89.208680261514601</v>
      </c>
    </row>
    <row r="170" spans="2:40" x14ac:dyDescent="0.3">
      <c r="B170" t="s">
        <v>337</v>
      </c>
      <c r="C170" s="2">
        <v>45957</v>
      </c>
      <c r="D170" t="s">
        <v>200</v>
      </c>
      <c r="E170">
        <v>8</v>
      </c>
      <c r="F170">
        <v>1</v>
      </c>
      <c r="G170">
        <v>237</v>
      </c>
      <c r="J170">
        <v>25</v>
      </c>
      <c r="K170">
        <v>173.05</v>
      </c>
      <c r="L170">
        <v>30</v>
      </c>
      <c r="M170">
        <v>9.9412731062620593E-2</v>
      </c>
      <c r="N170">
        <v>2288.2105299999998</v>
      </c>
      <c r="O170">
        <v>2241.818928760184</v>
      </c>
      <c r="P170">
        <v>2070.9674705452971</v>
      </c>
      <c r="S170">
        <f t="shared" si="2"/>
        <v>0</v>
      </c>
      <c r="T170">
        <v>0</v>
      </c>
      <c r="U170">
        <v>248</v>
      </c>
      <c r="V170">
        <v>4</v>
      </c>
      <c r="X170">
        <v>1.5</v>
      </c>
      <c r="Y170">
        <v>0.15</v>
      </c>
      <c r="Z170">
        <v>468.62763356562351</v>
      </c>
      <c r="AA170">
        <v>394.33373129511938</v>
      </c>
      <c r="AD170" t="s">
        <v>338</v>
      </c>
      <c r="AE170" t="s">
        <v>338</v>
      </c>
      <c r="AG170">
        <v>2111.4951999999998</v>
      </c>
      <c r="AH170">
        <v>2111.4951999999998</v>
      </c>
      <c r="AI170">
        <v>396.43593353015262</v>
      </c>
      <c r="AJ170">
        <v>396.43593353015262</v>
      </c>
      <c r="AK170">
        <v>396.07480725870278</v>
      </c>
      <c r="AM170">
        <v>92.378891264453074</v>
      </c>
    </row>
    <row r="171" spans="2:40" x14ac:dyDescent="0.3">
      <c r="B171" t="s">
        <v>339</v>
      </c>
      <c r="C171" s="2">
        <v>45957</v>
      </c>
      <c r="D171" t="s">
        <v>200</v>
      </c>
      <c r="E171">
        <v>9</v>
      </c>
      <c r="F171">
        <v>1</v>
      </c>
      <c r="G171">
        <v>238</v>
      </c>
      <c r="J171">
        <v>25</v>
      </c>
      <c r="K171">
        <v>173.1</v>
      </c>
      <c r="L171">
        <v>30</v>
      </c>
      <c r="M171">
        <v>9.9412731062620593E-2</v>
      </c>
      <c r="N171">
        <v>2288.2105299999998</v>
      </c>
      <c r="O171">
        <v>2241.818928760184</v>
      </c>
      <c r="P171">
        <v>2122.0528567683391</v>
      </c>
      <c r="S171">
        <f t="shared" si="2"/>
        <v>0</v>
      </c>
      <c r="T171">
        <v>0</v>
      </c>
      <c r="U171">
        <v>197</v>
      </c>
      <c r="V171">
        <v>4</v>
      </c>
      <c r="X171">
        <v>1.05</v>
      </c>
      <c r="Y171">
        <v>0.15</v>
      </c>
      <c r="Z171">
        <v>456.5408935692999</v>
      </c>
      <c r="AA171">
        <v>206.79367006695321</v>
      </c>
      <c r="AD171" t="s">
        <v>340</v>
      </c>
      <c r="AE171" t="s">
        <v>340</v>
      </c>
      <c r="AG171">
        <v>2163.5803000000001</v>
      </c>
      <c r="AH171">
        <v>2163.5803000000001</v>
      </c>
      <c r="AI171">
        <v>207.7406271352196</v>
      </c>
      <c r="AJ171">
        <v>207.7406271352196</v>
      </c>
      <c r="AK171">
        <v>208.1187913661999</v>
      </c>
      <c r="AM171">
        <v>94.657638471360386</v>
      </c>
    </row>
    <row r="172" spans="2:40" x14ac:dyDescent="0.3">
      <c r="B172" t="s">
        <v>341</v>
      </c>
      <c r="C172" s="2">
        <v>45957</v>
      </c>
      <c r="D172" t="s">
        <v>200</v>
      </c>
      <c r="E172">
        <v>10</v>
      </c>
      <c r="F172">
        <v>1</v>
      </c>
      <c r="G172">
        <v>239</v>
      </c>
      <c r="J172">
        <v>25</v>
      </c>
      <c r="K172">
        <v>173.15</v>
      </c>
      <c r="L172">
        <v>30</v>
      </c>
      <c r="M172">
        <v>9.9412731062620593E-2</v>
      </c>
      <c r="N172">
        <v>2288.2105299999998</v>
      </c>
      <c r="O172">
        <v>2241.818928760184</v>
      </c>
      <c r="P172">
        <v>2170.68652186688</v>
      </c>
      <c r="S172">
        <f t="shared" si="2"/>
        <v>0</v>
      </c>
      <c r="T172">
        <v>0.166666666666</v>
      </c>
      <c r="U172">
        <v>124</v>
      </c>
      <c r="V172">
        <v>4</v>
      </c>
      <c r="X172">
        <v>0.6</v>
      </c>
      <c r="Y172">
        <v>0.15</v>
      </c>
      <c r="Z172">
        <v>449.12766458689998</v>
      </c>
      <c r="AA172">
        <v>127.6417258849402</v>
      </c>
      <c r="AD172" t="s">
        <v>342</v>
      </c>
      <c r="AE172" t="s">
        <v>342</v>
      </c>
      <c r="AG172">
        <v>2213.1657</v>
      </c>
      <c r="AH172">
        <v>2213.1657</v>
      </c>
      <c r="AI172">
        <v>128.0750374466482</v>
      </c>
      <c r="AJ172">
        <v>128.0750374466482</v>
      </c>
      <c r="AK172">
        <v>128.8614723125946</v>
      </c>
      <c r="AM172">
        <v>96.827022647514042</v>
      </c>
    </row>
    <row r="173" spans="2:40" x14ac:dyDescent="0.3">
      <c r="B173" t="s">
        <v>343</v>
      </c>
      <c r="C173" s="2">
        <v>45957</v>
      </c>
      <c r="D173" t="s">
        <v>200</v>
      </c>
      <c r="E173">
        <v>11</v>
      </c>
      <c r="F173">
        <v>1</v>
      </c>
      <c r="G173">
        <v>242</v>
      </c>
      <c r="J173">
        <v>25</v>
      </c>
      <c r="L173">
        <v>30</v>
      </c>
      <c r="M173">
        <v>9.9412731062620593E-2</v>
      </c>
      <c r="N173">
        <v>2288.2105299999998</v>
      </c>
      <c r="O173">
        <v>2241.818928760184</v>
      </c>
      <c r="P173">
        <v>2222.112934387073</v>
      </c>
      <c r="S173">
        <f t="shared" si="2"/>
        <v>0</v>
      </c>
      <c r="T173">
        <v>0</v>
      </c>
      <c r="U173">
        <v>0</v>
      </c>
      <c r="V173">
        <v>4</v>
      </c>
      <c r="X173">
        <v>0</v>
      </c>
      <c r="Y173">
        <v>0.15</v>
      </c>
      <c r="AD173" t="s">
        <v>344</v>
      </c>
      <c r="AE173" t="s">
        <v>344</v>
      </c>
      <c r="AG173">
        <v>2265.5985000000001</v>
      </c>
      <c r="AH173">
        <v>2265.5985000000001</v>
      </c>
      <c r="AM173">
        <v>99.120981890182847</v>
      </c>
    </row>
    <row r="174" spans="2:40" x14ac:dyDescent="0.3">
      <c r="B174" t="s">
        <v>345</v>
      </c>
      <c r="C174" s="2">
        <v>45958</v>
      </c>
      <c r="D174" t="s">
        <v>200</v>
      </c>
      <c r="E174">
        <v>12</v>
      </c>
      <c r="F174">
        <v>1</v>
      </c>
      <c r="G174">
        <v>243</v>
      </c>
      <c r="J174">
        <v>25</v>
      </c>
      <c r="K174">
        <v>173.05</v>
      </c>
      <c r="L174">
        <v>30</v>
      </c>
      <c r="M174">
        <v>9.9412731062620593E-2</v>
      </c>
      <c r="N174">
        <v>2288.4819499999999</v>
      </c>
      <c r="O174">
        <v>2242.0848459411709</v>
      </c>
      <c r="P174">
        <v>1684.854397563249</v>
      </c>
      <c r="Q174">
        <v>1764.4177852175601</v>
      </c>
      <c r="R174">
        <v>1766.080403247478</v>
      </c>
      <c r="S174">
        <f t="shared" si="2"/>
        <v>-1.6626180299178941</v>
      </c>
      <c r="T174">
        <v>0</v>
      </c>
      <c r="U174">
        <v>601</v>
      </c>
      <c r="V174">
        <v>4</v>
      </c>
      <c r="W174">
        <v>1</v>
      </c>
      <c r="X174">
        <v>4.2</v>
      </c>
      <c r="Y174">
        <v>0.15</v>
      </c>
      <c r="Z174">
        <v>632.92782069252462</v>
      </c>
      <c r="AA174">
        <v>2315.5130653493602</v>
      </c>
      <c r="AB174">
        <v>2322.8409999999999</v>
      </c>
      <c r="AC174">
        <v>10.363</v>
      </c>
      <c r="AD174" t="s">
        <v>346</v>
      </c>
      <c r="AE174" t="s">
        <v>346</v>
      </c>
      <c r="AG174">
        <v>1717.8261</v>
      </c>
      <c r="AH174">
        <v>1717.8261</v>
      </c>
      <c r="AI174">
        <v>2329.0345085716049</v>
      </c>
      <c r="AJ174">
        <v>2329.0345085716049</v>
      </c>
      <c r="AK174">
        <v>2322.6882896937268</v>
      </c>
      <c r="AM174">
        <v>75.146772461056855</v>
      </c>
      <c r="AN174">
        <v>0.6745828828543361</v>
      </c>
    </row>
    <row r="175" spans="2:40" x14ac:dyDescent="0.3">
      <c r="B175" t="s">
        <v>347</v>
      </c>
      <c r="C175" s="2">
        <v>45958</v>
      </c>
      <c r="D175" t="s">
        <v>200</v>
      </c>
      <c r="E175">
        <v>1</v>
      </c>
      <c r="F175">
        <v>1</v>
      </c>
      <c r="J175">
        <v>24.7</v>
      </c>
      <c r="K175">
        <v>172.3</v>
      </c>
      <c r="L175">
        <v>30</v>
      </c>
      <c r="M175">
        <v>9.9412731062620593E-2</v>
      </c>
      <c r="N175">
        <v>2288.4819499999999</v>
      </c>
      <c r="O175">
        <v>2242.0848459411709</v>
      </c>
      <c r="S175">
        <f t="shared" si="2"/>
        <v>0</v>
      </c>
      <c r="U175">
        <v>625</v>
      </c>
      <c r="V175">
        <v>4</v>
      </c>
      <c r="X175">
        <v>4.2</v>
      </c>
      <c r="Y175">
        <v>0.15</v>
      </c>
      <c r="Z175">
        <v>632.77420137862964</v>
      </c>
      <c r="AA175">
        <v>2312.433446610356</v>
      </c>
      <c r="AI175">
        <v>2325.9388361428032</v>
      </c>
      <c r="AJ175">
        <v>2325.9388361428032</v>
      </c>
      <c r="AK175">
        <v>2319.5904564760272</v>
      </c>
    </row>
    <row r="176" spans="2:40" x14ac:dyDescent="0.3">
      <c r="B176" t="s">
        <v>348</v>
      </c>
      <c r="C176" s="2">
        <v>45958</v>
      </c>
      <c r="D176" t="s">
        <v>200</v>
      </c>
      <c r="E176">
        <v>2</v>
      </c>
      <c r="F176">
        <v>1</v>
      </c>
      <c r="G176">
        <v>248</v>
      </c>
      <c r="J176">
        <v>24.8</v>
      </c>
      <c r="K176">
        <v>171.9</v>
      </c>
      <c r="L176">
        <v>30</v>
      </c>
      <c r="M176">
        <v>9.9412731062620593E-2</v>
      </c>
      <c r="N176">
        <v>2288.4819499999999</v>
      </c>
      <c r="O176">
        <v>2242.0848459411709</v>
      </c>
      <c r="P176">
        <v>1648.4843633432961</v>
      </c>
      <c r="Q176">
        <v>1726.3147021265549</v>
      </c>
      <c r="R176">
        <v>1727.9411050280739</v>
      </c>
      <c r="S176">
        <f t="shared" si="2"/>
        <v>-1.6264029015189863</v>
      </c>
      <c r="T176">
        <v>0</v>
      </c>
      <c r="U176">
        <v>595</v>
      </c>
      <c r="V176">
        <v>4</v>
      </c>
      <c r="W176">
        <v>1</v>
      </c>
      <c r="X176">
        <v>4.2</v>
      </c>
      <c r="Y176">
        <v>0.15</v>
      </c>
      <c r="Z176">
        <v>632.65420167504305</v>
      </c>
      <c r="AA176">
        <v>2330.1689754109721</v>
      </c>
      <c r="AB176">
        <v>2322.8409999999999</v>
      </c>
      <c r="AC176">
        <v>10.363</v>
      </c>
      <c r="AD176" t="s">
        <v>349</v>
      </c>
      <c r="AE176" t="s">
        <v>349</v>
      </c>
      <c r="AG176">
        <v>1680.8421000000001</v>
      </c>
      <c r="AH176">
        <v>1680.8421000000001</v>
      </c>
      <c r="AI176">
        <v>2343.7723741224131</v>
      </c>
      <c r="AJ176">
        <v>2343.7723741224131</v>
      </c>
      <c r="AK176">
        <v>2337.3994284028959</v>
      </c>
      <c r="AM176">
        <v>73.524620012821316</v>
      </c>
      <c r="AN176">
        <v>0.6745828828543361</v>
      </c>
    </row>
    <row r="177" spans="2:40" x14ac:dyDescent="0.3">
      <c r="B177" t="s">
        <v>350</v>
      </c>
      <c r="C177" s="2">
        <v>45958</v>
      </c>
      <c r="D177" t="s">
        <v>200</v>
      </c>
      <c r="E177">
        <v>3</v>
      </c>
      <c r="F177">
        <v>1</v>
      </c>
      <c r="G177">
        <v>250</v>
      </c>
      <c r="J177">
        <v>25</v>
      </c>
      <c r="K177">
        <v>171.95</v>
      </c>
      <c r="L177">
        <v>30</v>
      </c>
      <c r="M177">
        <v>9.9412731062620593E-2</v>
      </c>
      <c r="N177">
        <v>2288.4819499999999</v>
      </c>
      <c r="O177">
        <v>2242.0848459411709</v>
      </c>
      <c r="P177">
        <v>1639.0246610764309</v>
      </c>
      <c r="Q177">
        <v>1716.4041325756159</v>
      </c>
      <c r="R177">
        <v>1718.021113805966</v>
      </c>
      <c r="S177">
        <f t="shared" si="2"/>
        <v>-1.6169812303501203</v>
      </c>
      <c r="T177">
        <v>0</v>
      </c>
      <c r="U177">
        <v>536</v>
      </c>
      <c r="V177">
        <v>4</v>
      </c>
      <c r="X177">
        <v>3.9</v>
      </c>
      <c r="Y177">
        <v>0.15</v>
      </c>
      <c r="Z177">
        <v>632.94299503392574</v>
      </c>
      <c r="AA177">
        <v>2319.5335712084652</v>
      </c>
      <c r="AD177" t="s">
        <v>351</v>
      </c>
      <c r="AE177" t="s">
        <v>351</v>
      </c>
      <c r="AG177">
        <v>1671.0995</v>
      </c>
      <c r="AH177">
        <v>1671.0995</v>
      </c>
      <c r="AI177">
        <v>2333.0773892631232</v>
      </c>
      <c r="AJ177">
        <v>2333.0773892631232</v>
      </c>
      <c r="AK177">
        <v>2326.7250055910649</v>
      </c>
      <c r="AM177">
        <v>73.102704567293458</v>
      </c>
      <c r="AN177">
        <v>0.67468408146414571</v>
      </c>
    </row>
    <row r="178" spans="2:40" x14ac:dyDescent="0.3">
      <c r="B178" t="s">
        <v>352</v>
      </c>
      <c r="C178" s="2">
        <v>45958</v>
      </c>
      <c r="D178" t="s">
        <v>200</v>
      </c>
      <c r="E178">
        <v>4</v>
      </c>
      <c r="F178">
        <v>1</v>
      </c>
      <c r="G178">
        <v>251</v>
      </c>
      <c r="J178">
        <v>25</v>
      </c>
      <c r="K178">
        <v>171.95</v>
      </c>
      <c r="L178">
        <v>30</v>
      </c>
      <c r="M178">
        <v>9.9412731062620593E-2</v>
      </c>
      <c r="N178">
        <v>2288.4819499999999</v>
      </c>
      <c r="O178">
        <v>2242.0848459411709</v>
      </c>
      <c r="P178">
        <v>1697.4083239164761</v>
      </c>
      <c r="Q178">
        <v>1777.569657580184</v>
      </c>
      <c r="R178">
        <v>1779.244770751968</v>
      </c>
      <c r="S178">
        <f t="shared" si="2"/>
        <v>-1.6751131717840053</v>
      </c>
      <c r="T178">
        <v>0</v>
      </c>
      <c r="U178">
        <v>503</v>
      </c>
      <c r="V178">
        <v>4</v>
      </c>
      <c r="X178">
        <v>3.6</v>
      </c>
      <c r="Y178">
        <v>0.15</v>
      </c>
      <c r="Z178">
        <v>632.95740661373725</v>
      </c>
      <c r="AA178">
        <v>2314.2078908971639</v>
      </c>
      <c r="AD178" t="s">
        <v>353</v>
      </c>
      <c r="AE178" t="s">
        <v>353</v>
      </c>
      <c r="AG178">
        <v>1730.6257000000001</v>
      </c>
      <c r="AH178">
        <v>1730.6257000000001</v>
      </c>
      <c r="AI178">
        <v>2327.714090324474</v>
      </c>
      <c r="AJ178">
        <v>2327.714090324474</v>
      </c>
      <c r="AK178">
        <v>2321.409832030261</v>
      </c>
      <c r="AM178">
        <v>75.706694462936213</v>
      </c>
      <c r="AN178">
        <v>0.67482096626221633</v>
      </c>
    </row>
    <row r="179" spans="2:40" x14ac:dyDescent="0.3">
      <c r="B179" t="s">
        <v>354</v>
      </c>
      <c r="C179" s="2">
        <v>45958</v>
      </c>
      <c r="D179" t="s">
        <v>200</v>
      </c>
      <c r="E179">
        <v>5</v>
      </c>
      <c r="F179">
        <v>1</v>
      </c>
      <c r="G179">
        <v>253</v>
      </c>
      <c r="J179">
        <v>25</v>
      </c>
      <c r="K179">
        <v>171.75</v>
      </c>
      <c r="L179">
        <v>30</v>
      </c>
      <c r="M179">
        <v>9.9412731062620593E-2</v>
      </c>
      <c r="N179">
        <v>2288.4819499999999</v>
      </c>
      <c r="O179">
        <v>2242.0848459411709</v>
      </c>
      <c r="P179">
        <v>1756.480022268317</v>
      </c>
      <c r="Q179">
        <v>1839.455731279259</v>
      </c>
      <c r="R179">
        <v>1841.1896558130679</v>
      </c>
      <c r="S179">
        <f t="shared" si="2"/>
        <v>-1.7339245338089313</v>
      </c>
      <c r="T179">
        <v>0</v>
      </c>
      <c r="U179">
        <v>500</v>
      </c>
      <c r="V179">
        <v>4</v>
      </c>
      <c r="X179">
        <v>3.15</v>
      </c>
      <c r="Y179">
        <v>0.15</v>
      </c>
      <c r="Z179">
        <v>633.09213278340872</v>
      </c>
      <c r="AA179">
        <v>2320.8930499721282</v>
      </c>
      <c r="AD179" t="s">
        <v>355</v>
      </c>
      <c r="AE179" t="s">
        <v>355</v>
      </c>
      <c r="AG179">
        <v>1790.8534</v>
      </c>
      <c r="AH179">
        <v>1790.8534</v>
      </c>
      <c r="AI179">
        <v>2334.394990372165</v>
      </c>
      <c r="AJ179">
        <v>2334.394990372165</v>
      </c>
      <c r="AK179">
        <v>2328.251426831152</v>
      </c>
      <c r="AM179">
        <v>78.341371667894705</v>
      </c>
      <c r="AN179">
        <v>0.67521247043950527</v>
      </c>
    </row>
    <row r="180" spans="2:40" x14ac:dyDescent="0.3">
      <c r="B180" t="s">
        <v>356</v>
      </c>
      <c r="C180" s="2">
        <v>45958</v>
      </c>
      <c r="D180" t="s">
        <v>200</v>
      </c>
      <c r="E180">
        <v>6</v>
      </c>
      <c r="F180">
        <v>1</v>
      </c>
      <c r="G180">
        <v>254</v>
      </c>
      <c r="J180">
        <v>25</v>
      </c>
      <c r="K180">
        <v>171.75</v>
      </c>
      <c r="L180">
        <v>30</v>
      </c>
      <c r="M180">
        <v>9.9412731062620593E-2</v>
      </c>
      <c r="N180">
        <v>2288.4819499999999</v>
      </c>
      <c r="O180">
        <v>2242.0848459411709</v>
      </c>
      <c r="P180">
        <v>1833.794616865149</v>
      </c>
      <c r="Q180">
        <v>1920.452988319531</v>
      </c>
      <c r="R180">
        <v>1922.263868613484</v>
      </c>
      <c r="S180">
        <f t="shared" si="2"/>
        <v>-1.8108802939530051</v>
      </c>
      <c r="T180">
        <v>0</v>
      </c>
      <c r="U180">
        <v>434</v>
      </c>
      <c r="V180">
        <v>4</v>
      </c>
      <c r="X180">
        <v>2.7</v>
      </c>
      <c r="Y180">
        <v>0.15</v>
      </c>
      <c r="Z180">
        <v>632.8239484202029</v>
      </c>
      <c r="AA180">
        <v>2315.110209619299</v>
      </c>
      <c r="AD180" t="s">
        <v>357</v>
      </c>
      <c r="AE180" t="s">
        <v>357</v>
      </c>
      <c r="AG180">
        <v>1869.681</v>
      </c>
      <c r="AH180">
        <v>1869.681</v>
      </c>
      <c r="AI180">
        <v>2328.2268549514738</v>
      </c>
      <c r="AJ180">
        <v>2328.2268549514738</v>
      </c>
      <c r="AK180">
        <v>2323.373597089022</v>
      </c>
      <c r="AM180">
        <v>81.789706584246957</v>
      </c>
      <c r="AN180">
        <v>0.67653559247274497</v>
      </c>
    </row>
    <row r="181" spans="2:40" x14ac:dyDescent="0.3">
      <c r="B181" t="s">
        <v>358</v>
      </c>
      <c r="C181" s="2">
        <v>45958</v>
      </c>
      <c r="D181" t="s">
        <v>200</v>
      </c>
      <c r="E181">
        <v>7</v>
      </c>
      <c r="F181">
        <v>1</v>
      </c>
      <c r="G181">
        <v>255</v>
      </c>
      <c r="J181">
        <v>25</v>
      </c>
      <c r="K181">
        <v>171.8</v>
      </c>
      <c r="L181">
        <v>30</v>
      </c>
      <c r="M181">
        <v>9.9412731062620593E-2</v>
      </c>
      <c r="N181">
        <v>2288.4819499999999</v>
      </c>
      <c r="O181">
        <v>2242.0848459411709</v>
      </c>
      <c r="P181">
        <v>1907.8041889899921</v>
      </c>
      <c r="Q181">
        <v>1994.5692524580711</v>
      </c>
      <c r="R181">
        <v>1996.3823622707871</v>
      </c>
      <c r="S181">
        <f t="shared" si="2"/>
        <v>-1.813109812715993</v>
      </c>
      <c r="T181">
        <v>0</v>
      </c>
      <c r="U181">
        <v>356</v>
      </c>
      <c r="V181">
        <v>4</v>
      </c>
      <c r="X181">
        <v>2.25</v>
      </c>
      <c r="Y181">
        <v>0.15</v>
      </c>
      <c r="AD181" t="s">
        <v>359</v>
      </c>
      <c r="AE181" t="s">
        <v>359</v>
      </c>
      <c r="AG181">
        <v>1945.1388999999999</v>
      </c>
      <c r="AH181">
        <v>1945.1388999999999</v>
      </c>
      <c r="AM181">
        <v>85.090633052699829</v>
      </c>
      <c r="AN181">
        <v>3.8775971845697121</v>
      </c>
    </row>
    <row r="182" spans="2:40" x14ac:dyDescent="0.3">
      <c r="B182" t="s">
        <v>360</v>
      </c>
      <c r="C182" s="2">
        <v>45958</v>
      </c>
      <c r="D182" t="s">
        <v>200</v>
      </c>
      <c r="E182">
        <v>8</v>
      </c>
      <c r="F182">
        <v>1</v>
      </c>
      <c r="G182">
        <v>256</v>
      </c>
      <c r="J182">
        <v>24.9</v>
      </c>
      <c r="K182">
        <v>171.75</v>
      </c>
      <c r="L182">
        <v>30</v>
      </c>
      <c r="M182">
        <v>9.9412731062620593E-2</v>
      </c>
      <c r="N182">
        <v>2288.4819499999999</v>
      </c>
      <c r="O182">
        <v>2242.0848459411709</v>
      </c>
      <c r="P182">
        <v>1963.4600262020181</v>
      </c>
      <c r="Q182">
        <v>2038.6970139876371</v>
      </c>
      <c r="R182">
        <v>2040.269224222734</v>
      </c>
      <c r="S182">
        <f t="shared" si="2"/>
        <v>-1.572210235096918</v>
      </c>
      <c r="T182">
        <v>0</v>
      </c>
      <c r="U182">
        <v>303</v>
      </c>
      <c r="V182">
        <v>4</v>
      </c>
      <c r="X182">
        <v>1.95</v>
      </c>
      <c r="Y182">
        <v>0.15</v>
      </c>
      <c r="Z182">
        <v>479.88054667501342</v>
      </c>
      <c r="AA182">
        <v>605.41246529707166</v>
      </c>
      <c r="AD182" t="s">
        <v>361</v>
      </c>
      <c r="AE182" t="s">
        <v>361</v>
      </c>
      <c r="AG182">
        <v>2001.9422</v>
      </c>
      <c r="AH182">
        <v>2001.9422</v>
      </c>
      <c r="AI182">
        <v>608.76292734374715</v>
      </c>
      <c r="AJ182">
        <v>608.76292734374715</v>
      </c>
      <c r="AK182">
        <v>607.76487359314524</v>
      </c>
      <c r="AM182">
        <v>87.572958256082728</v>
      </c>
      <c r="AN182">
        <v>17.150325650143198</v>
      </c>
    </row>
    <row r="183" spans="2:40" x14ac:dyDescent="0.3">
      <c r="B183" t="s">
        <v>362</v>
      </c>
      <c r="C183" s="2">
        <v>45958</v>
      </c>
      <c r="D183" t="s">
        <v>200</v>
      </c>
      <c r="E183">
        <v>9</v>
      </c>
      <c r="F183">
        <v>1</v>
      </c>
      <c r="G183">
        <v>257</v>
      </c>
      <c r="J183">
        <v>25</v>
      </c>
      <c r="K183">
        <v>171.6</v>
      </c>
      <c r="L183">
        <v>30</v>
      </c>
      <c r="M183">
        <v>9.9412731062620593E-2</v>
      </c>
      <c r="N183">
        <v>2288.4819499999999</v>
      </c>
      <c r="O183">
        <v>2242.0848459411709</v>
      </c>
      <c r="P183">
        <v>2017.0132263436319</v>
      </c>
      <c r="Q183">
        <v>2080.8092191471778</v>
      </c>
      <c r="R183">
        <v>2082.1423495102608</v>
      </c>
      <c r="S183">
        <f t="shared" si="2"/>
        <v>-1.3331303630830007</v>
      </c>
      <c r="T183">
        <v>0</v>
      </c>
      <c r="U183">
        <v>266</v>
      </c>
      <c r="V183">
        <v>4</v>
      </c>
      <c r="X183">
        <v>1.65</v>
      </c>
      <c r="Y183">
        <v>0.15</v>
      </c>
      <c r="Z183">
        <v>468.34300040148941</v>
      </c>
      <c r="AA183">
        <v>395.43047234477899</v>
      </c>
      <c r="AD183" t="s">
        <v>363</v>
      </c>
      <c r="AE183" t="s">
        <v>363</v>
      </c>
      <c r="AG183">
        <v>2056.4850999999999</v>
      </c>
      <c r="AH183">
        <v>2056.4850999999999</v>
      </c>
      <c r="AI183">
        <v>397.53821495394459</v>
      </c>
      <c r="AJ183">
        <v>397.53821495394459</v>
      </c>
      <c r="AK183">
        <v>397.17684089055211</v>
      </c>
      <c r="AM183">
        <v>89.961503017828051</v>
      </c>
      <c r="AN183">
        <v>30.2477651986481</v>
      </c>
    </row>
    <row r="184" spans="2:40" x14ac:dyDescent="0.3">
      <c r="B184" t="s">
        <v>364</v>
      </c>
      <c r="C184" s="2">
        <v>45958</v>
      </c>
      <c r="D184" t="s">
        <v>200</v>
      </c>
      <c r="E184">
        <v>10</v>
      </c>
      <c r="F184">
        <v>1</v>
      </c>
      <c r="G184">
        <v>258</v>
      </c>
      <c r="J184">
        <v>25</v>
      </c>
      <c r="K184">
        <v>171.7</v>
      </c>
      <c r="L184">
        <v>30</v>
      </c>
      <c r="M184">
        <v>9.9412731062620593E-2</v>
      </c>
      <c r="N184">
        <v>2288.4819499999999</v>
      </c>
      <c r="O184">
        <v>2242.0848459411709</v>
      </c>
      <c r="P184">
        <v>2061.4349175264801</v>
      </c>
      <c r="Q184">
        <v>2113.5223767798489</v>
      </c>
      <c r="R184">
        <v>2114.610836578262</v>
      </c>
      <c r="S184">
        <f t="shared" si="2"/>
        <v>-1.0884597984131688</v>
      </c>
      <c r="T184">
        <v>0</v>
      </c>
      <c r="U184">
        <v>236</v>
      </c>
      <c r="V184">
        <v>4</v>
      </c>
      <c r="X184">
        <v>1.35</v>
      </c>
      <c r="Y184">
        <v>0.15</v>
      </c>
      <c r="Z184">
        <v>464.49565502439901</v>
      </c>
      <c r="AA184">
        <v>337.64582671636612</v>
      </c>
      <c r="AD184" t="s">
        <v>365</v>
      </c>
      <c r="AE184" t="s">
        <v>365</v>
      </c>
      <c r="AG184">
        <v>2101.7761</v>
      </c>
      <c r="AH184">
        <v>2101.7761</v>
      </c>
      <c r="AI184">
        <v>339.42304536662289</v>
      </c>
      <c r="AJ184">
        <v>339.42304536662289</v>
      </c>
      <c r="AK184">
        <v>339.19451728149357</v>
      </c>
      <c r="AM184">
        <v>91.942770197045846</v>
      </c>
      <c r="AN184">
        <v>43.188346151935953</v>
      </c>
    </row>
    <row r="185" spans="2:40" x14ac:dyDescent="0.3">
      <c r="B185" t="s">
        <v>366</v>
      </c>
      <c r="C185" s="2">
        <v>45958</v>
      </c>
      <c r="D185" t="s">
        <v>200</v>
      </c>
      <c r="E185">
        <v>11</v>
      </c>
      <c r="F185">
        <v>1</v>
      </c>
      <c r="G185">
        <v>259</v>
      </c>
      <c r="J185">
        <v>25.1</v>
      </c>
      <c r="K185">
        <v>171.6</v>
      </c>
      <c r="L185">
        <v>30</v>
      </c>
      <c r="M185">
        <v>9.9412731062620593E-2</v>
      </c>
      <c r="N185">
        <v>2288.4819499999999</v>
      </c>
      <c r="O185">
        <v>2242.0848459411709</v>
      </c>
      <c r="P185">
        <v>2122.8382962162</v>
      </c>
      <c r="Q185">
        <v>2157.3775729523691</v>
      </c>
      <c r="R185">
        <v>2158.0993323687899</v>
      </c>
      <c r="S185">
        <f t="shared" si="2"/>
        <v>-0.72175941642080943</v>
      </c>
      <c r="T185">
        <v>0</v>
      </c>
      <c r="U185">
        <v>178</v>
      </c>
      <c r="V185">
        <v>4</v>
      </c>
      <c r="X185">
        <v>0.9</v>
      </c>
      <c r="Y185">
        <v>0.15</v>
      </c>
      <c r="Z185">
        <v>453.91323290591049</v>
      </c>
      <c r="AA185">
        <v>180.83224312245349</v>
      </c>
      <c r="AD185" t="s">
        <v>367</v>
      </c>
      <c r="AE185" t="s">
        <v>367</v>
      </c>
      <c r="AG185">
        <v>2164.3179</v>
      </c>
      <c r="AH185">
        <v>2164.3179</v>
      </c>
      <c r="AI185">
        <v>181.61298067763681</v>
      </c>
      <c r="AJ185">
        <v>181.61298067763681</v>
      </c>
      <c r="AK185">
        <v>182.11784520636891</v>
      </c>
      <c r="AM185">
        <v>94.681443481461372</v>
      </c>
      <c r="AN185">
        <v>62.352307671334927</v>
      </c>
    </row>
    <row r="186" spans="2:40" x14ac:dyDescent="0.3">
      <c r="B186" t="s">
        <v>368</v>
      </c>
      <c r="C186" s="2">
        <v>45959</v>
      </c>
      <c r="D186" t="s">
        <v>200</v>
      </c>
      <c r="E186">
        <v>12</v>
      </c>
      <c r="F186">
        <v>1</v>
      </c>
      <c r="J186">
        <v>25</v>
      </c>
      <c r="K186">
        <v>171.45</v>
      </c>
      <c r="L186">
        <v>30</v>
      </c>
      <c r="M186">
        <v>9.9412731062620593E-2</v>
      </c>
      <c r="N186">
        <v>2275.0762</v>
      </c>
      <c r="O186">
        <v>2228.950886582883</v>
      </c>
      <c r="S186">
        <f t="shared" si="2"/>
        <v>0</v>
      </c>
      <c r="T186">
        <v>0</v>
      </c>
      <c r="U186">
        <v>160</v>
      </c>
      <c r="V186">
        <v>4</v>
      </c>
      <c r="X186">
        <v>0.75</v>
      </c>
      <c r="Y186">
        <v>0.15</v>
      </c>
      <c r="Z186">
        <v>451.25841308806548</v>
      </c>
      <c r="AA186">
        <v>156.9810041802711</v>
      </c>
      <c r="AI186">
        <v>157.60641675750389</v>
      </c>
      <c r="AJ186">
        <v>157.60641675750389</v>
      </c>
      <c r="AK186">
        <v>158.23630508541069</v>
      </c>
    </row>
    <row r="187" spans="2:40" x14ac:dyDescent="0.3">
      <c r="B187" t="s">
        <v>369</v>
      </c>
      <c r="C187" s="2">
        <v>45959</v>
      </c>
      <c r="D187" t="s">
        <v>370</v>
      </c>
      <c r="E187">
        <v>1</v>
      </c>
      <c r="J187">
        <v>24.7</v>
      </c>
      <c r="K187">
        <v>170.4</v>
      </c>
      <c r="L187">
        <v>36</v>
      </c>
      <c r="M187">
        <v>9.9412731062620593E-2</v>
      </c>
      <c r="N187">
        <v>2277.9189299999998</v>
      </c>
      <c r="O187">
        <v>2221.8032411871682</v>
      </c>
      <c r="S187">
        <f t="shared" si="2"/>
        <v>0</v>
      </c>
      <c r="U187">
        <v>651</v>
      </c>
      <c r="V187">
        <v>4</v>
      </c>
      <c r="X187">
        <v>4.2</v>
      </c>
      <c r="Y187">
        <v>0.15</v>
      </c>
      <c r="Z187">
        <v>633.22809563857481</v>
      </c>
      <c r="AA187">
        <v>2303.4053401306828</v>
      </c>
      <c r="AI187">
        <v>2326.384020196097</v>
      </c>
      <c r="AJ187">
        <v>2326.384020196097</v>
      </c>
      <c r="AK187">
        <v>2320.03278328037</v>
      </c>
    </row>
    <row r="188" spans="2:40" x14ac:dyDescent="0.3">
      <c r="B188" t="s">
        <v>371</v>
      </c>
      <c r="C188" s="2">
        <v>45959</v>
      </c>
      <c r="D188" t="s">
        <v>370</v>
      </c>
      <c r="E188">
        <v>2</v>
      </c>
      <c r="J188">
        <v>25</v>
      </c>
      <c r="K188">
        <v>170.1</v>
      </c>
      <c r="L188">
        <v>36</v>
      </c>
      <c r="M188">
        <v>9.9412731062620593E-2</v>
      </c>
      <c r="N188">
        <v>2277.9189299999998</v>
      </c>
      <c r="O188">
        <v>2221.8032411871682</v>
      </c>
      <c r="S188">
        <f t="shared" si="2"/>
        <v>0</v>
      </c>
      <c r="U188">
        <v>603</v>
      </c>
      <c r="V188">
        <v>4</v>
      </c>
      <c r="W188">
        <v>1</v>
      </c>
      <c r="X188">
        <v>4.2</v>
      </c>
      <c r="Y188">
        <v>0.15</v>
      </c>
      <c r="Z188">
        <v>633.40001776795089</v>
      </c>
      <c r="AA188">
        <v>2317.412901638651</v>
      </c>
      <c r="AB188">
        <v>2319.0770000000002</v>
      </c>
      <c r="AC188">
        <v>2.1539999999999999</v>
      </c>
      <c r="AI188">
        <v>2340.4915558768762</v>
      </c>
      <c r="AJ188">
        <v>2340.4915558768762</v>
      </c>
      <c r="AK188">
        <v>2334.125860306126</v>
      </c>
    </row>
    <row r="189" spans="2:40" x14ac:dyDescent="0.3">
      <c r="B189" t="s">
        <v>372</v>
      </c>
      <c r="C189" s="2">
        <v>45959</v>
      </c>
      <c r="D189" t="s">
        <v>370</v>
      </c>
      <c r="E189">
        <v>3</v>
      </c>
      <c r="G189">
        <v>262</v>
      </c>
      <c r="J189">
        <v>25</v>
      </c>
      <c r="K189">
        <v>170.1</v>
      </c>
      <c r="L189">
        <v>36</v>
      </c>
      <c r="M189">
        <v>9.9412731062620593E-2</v>
      </c>
      <c r="N189">
        <v>2277.9189299999998</v>
      </c>
      <c r="O189">
        <v>2221.8032411871682</v>
      </c>
      <c r="P189">
        <v>1627.248074974648</v>
      </c>
      <c r="Q189">
        <v>1704.091139768507</v>
      </c>
      <c r="R189">
        <v>1705.6969118298409</v>
      </c>
      <c r="S189">
        <f t="shared" si="2"/>
        <v>-1.605772061333937</v>
      </c>
      <c r="T189">
        <v>0</v>
      </c>
      <c r="U189">
        <v>605</v>
      </c>
      <c r="V189">
        <v>4</v>
      </c>
      <c r="W189">
        <v>1</v>
      </c>
      <c r="X189">
        <v>4.2</v>
      </c>
      <c r="Y189">
        <v>0.15</v>
      </c>
      <c r="Z189">
        <v>633.40361752413139</v>
      </c>
      <c r="AA189">
        <v>2318.226291624173</v>
      </c>
      <c r="AB189">
        <v>2319.0770000000002</v>
      </c>
      <c r="AC189">
        <v>2.1539999999999999</v>
      </c>
      <c r="AD189" t="s">
        <v>373</v>
      </c>
      <c r="AE189" t="s">
        <v>373</v>
      </c>
      <c r="AG189">
        <v>1666.4631999999999</v>
      </c>
      <c r="AH189">
        <v>1666.4631999999999</v>
      </c>
      <c r="AI189">
        <v>2341.3118618152598</v>
      </c>
      <c r="AJ189">
        <v>2341.3118618152598</v>
      </c>
      <c r="AK189">
        <v>2334.94463690461</v>
      </c>
      <c r="AM189">
        <v>73.239972145560756</v>
      </c>
      <c r="AN189">
        <v>0.65746228346030777</v>
      </c>
    </row>
    <row r="190" spans="2:40" x14ac:dyDescent="0.3">
      <c r="B190" t="s">
        <v>374</v>
      </c>
      <c r="C190" s="2">
        <v>45959</v>
      </c>
      <c r="D190" t="s">
        <v>370</v>
      </c>
      <c r="E190">
        <v>4</v>
      </c>
      <c r="G190">
        <v>263</v>
      </c>
      <c r="J190">
        <v>25.1</v>
      </c>
      <c r="K190">
        <v>169.8</v>
      </c>
      <c r="L190">
        <v>36</v>
      </c>
      <c r="M190">
        <v>9.9412731062620593E-2</v>
      </c>
      <c r="N190">
        <v>2277.9189299999998</v>
      </c>
      <c r="O190">
        <v>2221.8032411871682</v>
      </c>
      <c r="P190">
        <v>1642.571102457194</v>
      </c>
      <c r="Q190">
        <v>1720.1443165635101</v>
      </c>
      <c r="R190">
        <v>1721.7653463890899</v>
      </c>
      <c r="S190">
        <f t="shared" si="2"/>
        <v>-1.6210298255798534</v>
      </c>
      <c r="T190">
        <v>0</v>
      </c>
      <c r="U190">
        <v>576</v>
      </c>
      <c r="V190">
        <v>4</v>
      </c>
      <c r="W190">
        <v>1</v>
      </c>
      <c r="X190">
        <v>4.2</v>
      </c>
      <c r="Y190">
        <v>0.15</v>
      </c>
      <c r="Z190">
        <v>633.45022792919599</v>
      </c>
      <c r="AA190">
        <v>2317.8480132567179</v>
      </c>
      <c r="AB190">
        <v>2319.0770000000002</v>
      </c>
      <c r="AC190">
        <v>2.1539999999999999</v>
      </c>
      <c r="AD190" t="s">
        <v>375</v>
      </c>
      <c r="AE190" t="s">
        <v>375</v>
      </c>
      <c r="AG190">
        <v>1682.1052999999999</v>
      </c>
      <c r="AH190">
        <v>1682.1052999999999</v>
      </c>
      <c r="AI190">
        <v>2340.9270692731488</v>
      </c>
      <c r="AJ190">
        <v>2340.9270692731488</v>
      </c>
      <c r="AK190">
        <v>2334.5625848579762</v>
      </c>
      <c r="AM190">
        <v>73.92963841296428</v>
      </c>
      <c r="AN190">
        <v>0.65746228346030777</v>
      </c>
    </row>
    <row r="191" spans="2:40" x14ac:dyDescent="0.3">
      <c r="B191" t="s">
        <v>376</v>
      </c>
      <c r="C191" s="2">
        <v>45959</v>
      </c>
      <c r="D191" t="s">
        <v>370</v>
      </c>
      <c r="E191">
        <v>5</v>
      </c>
      <c r="G191">
        <v>264</v>
      </c>
      <c r="J191">
        <v>25.1</v>
      </c>
      <c r="K191">
        <v>169.8</v>
      </c>
      <c r="L191">
        <v>36</v>
      </c>
      <c r="M191">
        <v>9.9412731062620593E-2</v>
      </c>
      <c r="N191">
        <v>2277.9189299999998</v>
      </c>
      <c r="O191">
        <v>2221.8032411871682</v>
      </c>
      <c r="P191">
        <v>426.43183195248548</v>
      </c>
      <c r="Q191">
        <v>1634.5514785489329</v>
      </c>
      <c r="R191">
        <v>1680.467600937397</v>
      </c>
      <c r="S191">
        <f t="shared" si="2"/>
        <v>-45.916122388464146</v>
      </c>
      <c r="T191">
        <v>45</v>
      </c>
      <c r="V191">
        <v>4</v>
      </c>
      <c r="W191">
        <v>1</v>
      </c>
      <c r="X191">
        <v>4.2</v>
      </c>
      <c r="Y191">
        <v>0.15</v>
      </c>
      <c r="Z191">
        <v>633.39710804715367</v>
      </c>
      <c r="AA191">
        <v>2319.1415353422472</v>
      </c>
      <c r="AB191">
        <v>2319.0770000000002</v>
      </c>
      <c r="AC191">
        <v>2.1539999999999999</v>
      </c>
      <c r="AD191" t="s">
        <v>377</v>
      </c>
      <c r="AE191" t="s">
        <v>377</v>
      </c>
      <c r="AG191">
        <v>436.69540000000001</v>
      </c>
      <c r="AH191">
        <v>436.69540000000001</v>
      </c>
      <c r="AI191">
        <v>2342.230478967424</v>
      </c>
      <c r="AJ191">
        <v>2342.230478967424</v>
      </c>
      <c r="AK191">
        <v>2335.864269698101</v>
      </c>
      <c r="AM191">
        <v>19.193051123853419</v>
      </c>
      <c r="AN191">
        <v>0.65746228346030777</v>
      </c>
    </row>
    <row r="192" spans="2:40" x14ac:dyDescent="0.3">
      <c r="B192" t="s">
        <v>378</v>
      </c>
      <c r="C192" s="2">
        <v>45959</v>
      </c>
      <c r="D192" t="s">
        <v>370</v>
      </c>
      <c r="E192">
        <v>6</v>
      </c>
      <c r="G192">
        <v>266</v>
      </c>
      <c r="J192">
        <v>25.1</v>
      </c>
      <c r="K192">
        <v>169.4</v>
      </c>
      <c r="L192">
        <v>36</v>
      </c>
      <c r="M192">
        <v>9.9412731062620593E-2</v>
      </c>
      <c r="N192">
        <v>2277.9189299999998</v>
      </c>
      <c r="O192">
        <v>2221.8032411871682</v>
      </c>
      <c r="P192">
        <v>1202.624744663914</v>
      </c>
      <c r="Q192">
        <v>1684.627716583296</v>
      </c>
      <c r="R192">
        <v>1696.274783637381</v>
      </c>
      <c r="S192">
        <f t="shared" si="2"/>
        <v>-11.647067054085028</v>
      </c>
      <c r="T192">
        <v>10</v>
      </c>
      <c r="U192">
        <v>591</v>
      </c>
      <c r="V192">
        <v>4</v>
      </c>
      <c r="W192">
        <v>1</v>
      </c>
      <c r="X192">
        <v>4.2</v>
      </c>
      <c r="Y192">
        <v>0.15</v>
      </c>
      <c r="Z192">
        <v>633.26288879438084</v>
      </c>
      <c r="AA192">
        <v>2322.7571749875251</v>
      </c>
      <c r="AB192">
        <v>2319.0770000000002</v>
      </c>
      <c r="AC192">
        <v>2.1539999999999999</v>
      </c>
      <c r="AD192" t="s">
        <v>379</v>
      </c>
      <c r="AE192" t="s">
        <v>379</v>
      </c>
      <c r="AG192">
        <v>1231.5700999999999</v>
      </c>
      <c r="AH192">
        <v>1231.5700999999999</v>
      </c>
      <c r="AI192">
        <v>2345.8737609497248</v>
      </c>
      <c r="AJ192">
        <v>2345.8737609497248</v>
      </c>
      <c r="AK192">
        <v>2339.5026769783799</v>
      </c>
      <c r="AM192">
        <v>54.128318942469441</v>
      </c>
      <c r="AN192">
        <v>0.65746228346030777</v>
      </c>
    </row>
    <row r="193" spans="1:40" x14ac:dyDescent="0.3">
      <c r="B193" t="s">
        <v>380</v>
      </c>
      <c r="C193" s="2">
        <v>45959</v>
      </c>
      <c r="D193" t="s">
        <v>200</v>
      </c>
      <c r="E193">
        <v>7</v>
      </c>
      <c r="F193">
        <v>1</v>
      </c>
      <c r="G193">
        <v>268</v>
      </c>
      <c r="J193">
        <v>25.1</v>
      </c>
      <c r="K193">
        <v>171.3</v>
      </c>
      <c r="L193">
        <v>30</v>
      </c>
      <c r="M193">
        <v>9.9412731062620593E-2</v>
      </c>
      <c r="N193">
        <v>2275.0762</v>
      </c>
      <c r="O193">
        <v>2228.950886582883</v>
      </c>
      <c r="P193">
        <v>1656.2242895971281</v>
      </c>
      <c r="Q193">
        <v>1734.4458451134369</v>
      </c>
      <c r="R193">
        <v>1736.0804231821171</v>
      </c>
      <c r="S193">
        <f t="shared" si="2"/>
        <v>-1.6345780686801845</v>
      </c>
      <c r="T193">
        <v>0</v>
      </c>
      <c r="U193">
        <v>577</v>
      </c>
      <c r="V193">
        <v>4</v>
      </c>
      <c r="W193">
        <v>1</v>
      </c>
      <c r="X193">
        <v>4.2</v>
      </c>
      <c r="Y193">
        <v>0.15</v>
      </c>
      <c r="Z193">
        <v>632.52650088354494</v>
      </c>
      <c r="AA193">
        <v>2316.3039838702148</v>
      </c>
      <c r="AB193">
        <v>2316.3040000000001</v>
      </c>
      <c r="AD193" t="s">
        <v>381</v>
      </c>
      <c r="AE193" t="s">
        <v>381</v>
      </c>
      <c r="AG193">
        <v>1688.5863999999999</v>
      </c>
      <c r="AH193">
        <v>1688.5863999999999</v>
      </c>
      <c r="AI193">
        <v>2329.8306008233362</v>
      </c>
      <c r="AJ193">
        <v>2329.8306008233362</v>
      </c>
      <c r="AK193">
        <v>2323.4812908603521</v>
      </c>
      <c r="AM193">
        <v>74.305104682509196</v>
      </c>
      <c r="AN193">
        <v>0.65746228346030777</v>
      </c>
    </row>
    <row r="194" spans="1:40" x14ac:dyDescent="0.3">
      <c r="B194" t="s">
        <v>382</v>
      </c>
      <c r="C194" s="2">
        <v>45959</v>
      </c>
      <c r="D194" t="s">
        <v>200</v>
      </c>
      <c r="E194">
        <v>8</v>
      </c>
      <c r="F194">
        <v>1</v>
      </c>
      <c r="G194">
        <v>269</v>
      </c>
      <c r="J194">
        <v>25.1</v>
      </c>
      <c r="K194">
        <v>171.25</v>
      </c>
      <c r="L194">
        <v>30</v>
      </c>
      <c r="M194">
        <v>9.9412731062620593E-2</v>
      </c>
      <c r="N194">
        <v>2275.0762</v>
      </c>
      <c r="O194">
        <v>2228.950886582883</v>
      </c>
      <c r="P194">
        <v>2142.6502762534669</v>
      </c>
      <c r="Q194">
        <v>2171.5826220980239</v>
      </c>
      <c r="R194">
        <v>2172.187214753857</v>
      </c>
      <c r="S194">
        <f t="shared" si="2"/>
        <v>-0.60459265583313027</v>
      </c>
      <c r="T194">
        <v>0</v>
      </c>
      <c r="U194">
        <v>136</v>
      </c>
      <c r="V194">
        <v>4</v>
      </c>
      <c r="X194">
        <v>0.75</v>
      </c>
      <c r="Y194">
        <v>0.15</v>
      </c>
      <c r="Z194">
        <v>451.02129706169802</v>
      </c>
      <c r="AA194">
        <v>155.6291687983923</v>
      </c>
      <c r="AD194" t="s">
        <v>383</v>
      </c>
      <c r="AE194" t="s">
        <v>383</v>
      </c>
      <c r="AG194">
        <v>2184.5169999999998</v>
      </c>
      <c r="AH194">
        <v>2184.5169999999998</v>
      </c>
      <c r="AI194">
        <v>156.24774915609009</v>
      </c>
      <c r="AJ194">
        <v>156.24774915609009</v>
      </c>
      <c r="AK194">
        <v>156.87755580663949</v>
      </c>
      <c r="AM194">
        <v>96.128195966591264</v>
      </c>
      <c r="AN194">
        <v>68.887634890286392</v>
      </c>
    </row>
    <row r="195" spans="1:40" x14ac:dyDescent="0.3">
      <c r="B195" t="s">
        <v>384</v>
      </c>
      <c r="C195" s="2">
        <v>45959</v>
      </c>
      <c r="D195" t="s">
        <v>200</v>
      </c>
      <c r="E195">
        <v>9</v>
      </c>
      <c r="F195">
        <v>1</v>
      </c>
      <c r="G195">
        <v>270</v>
      </c>
      <c r="J195">
        <v>25.1</v>
      </c>
      <c r="L195">
        <v>30</v>
      </c>
      <c r="M195">
        <v>9.9412731062620593E-2</v>
      </c>
      <c r="N195">
        <v>2275.0762</v>
      </c>
      <c r="O195">
        <v>2228.950886582883</v>
      </c>
      <c r="P195">
        <v>2209.8173523589412</v>
      </c>
      <c r="Q195">
        <v>2208.905630646349</v>
      </c>
      <c r="R195">
        <v>2208.8865786049219</v>
      </c>
      <c r="S195">
        <f t="shared" ref="S195:S258" si="3">Q195-R195</f>
        <v>1.9052041427130462E-2</v>
      </c>
      <c r="T195">
        <v>0</v>
      </c>
      <c r="V195">
        <v>4</v>
      </c>
      <c r="X195">
        <v>0</v>
      </c>
      <c r="Y195">
        <v>0.15</v>
      </c>
      <c r="AD195" t="s">
        <v>385</v>
      </c>
      <c r="AE195" t="s">
        <v>385</v>
      </c>
      <c r="AG195">
        <v>2252.9965000000002</v>
      </c>
      <c r="AH195">
        <v>2252.9965000000002</v>
      </c>
      <c r="AM195">
        <v>99.141590138252241</v>
      </c>
      <c r="AN195">
        <v>100</v>
      </c>
    </row>
    <row r="196" spans="1:40" x14ac:dyDescent="0.3">
      <c r="A196" t="s">
        <v>386</v>
      </c>
      <c r="B196" t="s">
        <v>387</v>
      </c>
      <c r="C196" s="2">
        <v>45959</v>
      </c>
      <c r="D196" t="s">
        <v>388</v>
      </c>
      <c r="E196">
        <v>10</v>
      </c>
      <c r="G196">
        <v>273</v>
      </c>
      <c r="J196">
        <v>25.1</v>
      </c>
      <c r="K196">
        <v>157.6</v>
      </c>
      <c r="L196">
        <v>30</v>
      </c>
      <c r="M196">
        <v>9.9412731062620593E-2</v>
      </c>
      <c r="N196">
        <v>2136.5814</v>
      </c>
      <c r="O196">
        <v>2093.2639556365179</v>
      </c>
      <c r="P196">
        <v>1531.4364062450279</v>
      </c>
      <c r="Q196">
        <v>1603.7542701999059</v>
      </c>
      <c r="R196">
        <v>1605.2654801677229</v>
      </c>
      <c r="S196">
        <f t="shared" si="3"/>
        <v>-1.511209967816967</v>
      </c>
      <c r="T196">
        <v>0</v>
      </c>
      <c r="U196">
        <v>667</v>
      </c>
      <c r="V196">
        <v>4</v>
      </c>
      <c r="W196">
        <v>1</v>
      </c>
      <c r="X196">
        <v>4.2</v>
      </c>
      <c r="Y196">
        <v>0.15</v>
      </c>
      <c r="Z196">
        <v>633.09157729933338</v>
      </c>
      <c r="AA196">
        <v>2309.579395712658</v>
      </c>
      <c r="AB196">
        <v>2309.6219999999998</v>
      </c>
      <c r="AC196">
        <v>0.378</v>
      </c>
      <c r="AD196" t="s">
        <v>389</v>
      </c>
      <c r="AE196" t="s">
        <v>389</v>
      </c>
      <c r="AG196">
        <v>1561.3602000000001</v>
      </c>
      <c r="AH196">
        <v>1561.3602000000001</v>
      </c>
      <c r="AI196">
        <v>2323.0771014850038</v>
      </c>
      <c r="AJ196">
        <v>2323.0771014850038</v>
      </c>
      <c r="AK196">
        <v>2316.7079789095192</v>
      </c>
      <c r="AM196">
        <v>73.160214798584732</v>
      </c>
      <c r="AN196">
        <v>0.65746228346030777</v>
      </c>
    </row>
    <row r="197" spans="1:40" x14ac:dyDescent="0.3">
      <c r="B197" t="s">
        <v>390</v>
      </c>
      <c r="C197" s="2">
        <v>45959</v>
      </c>
      <c r="D197" t="s">
        <v>388</v>
      </c>
      <c r="E197">
        <v>11</v>
      </c>
      <c r="J197">
        <v>25.1</v>
      </c>
      <c r="K197">
        <v>157.69999999999999</v>
      </c>
      <c r="L197">
        <v>30</v>
      </c>
      <c r="M197">
        <v>9.9412731062620593E-2</v>
      </c>
      <c r="N197">
        <v>2136.5814</v>
      </c>
      <c r="O197">
        <v>2093.2639556365179</v>
      </c>
      <c r="S197">
        <f t="shared" si="3"/>
        <v>0</v>
      </c>
      <c r="U197">
        <v>671</v>
      </c>
      <c r="V197">
        <v>4</v>
      </c>
      <c r="W197">
        <v>1</v>
      </c>
      <c r="X197">
        <v>4.2</v>
      </c>
      <c r="Y197">
        <v>0.15</v>
      </c>
      <c r="Z197">
        <v>633.04921260294918</v>
      </c>
      <c r="AA197">
        <v>2309.2676850246989</v>
      </c>
      <c r="AB197">
        <v>2309.6219999999998</v>
      </c>
      <c r="AC197">
        <v>0.378</v>
      </c>
      <c r="AI197">
        <v>2322.763541739836</v>
      </c>
      <c r="AJ197">
        <v>2322.763541739836</v>
      </c>
      <c r="AK197">
        <v>2316.395346129741</v>
      </c>
    </row>
    <row r="198" spans="1:40" x14ac:dyDescent="0.3">
      <c r="B198" t="s">
        <v>391</v>
      </c>
      <c r="C198" s="2">
        <v>45959</v>
      </c>
      <c r="D198" t="s">
        <v>388</v>
      </c>
      <c r="E198">
        <v>12</v>
      </c>
      <c r="G198">
        <v>277</v>
      </c>
      <c r="J198">
        <v>25.1</v>
      </c>
      <c r="K198">
        <v>157.69999999999999</v>
      </c>
      <c r="L198">
        <v>30</v>
      </c>
      <c r="M198">
        <v>9.9412731062620593E-2</v>
      </c>
      <c r="N198">
        <v>2136.5814</v>
      </c>
      <c r="O198">
        <v>2093.2639556365179</v>
      </c>
      <c r="P198">
        <v>1549.509856614337</v>
      </c>
      <c r="Q198">
        <v>1622.688928798196</v>
      </c>
      <c r="R198">
        <v>1624.2181352386531</v>
      </c>
      <c r="S198">
        <f t="shared" si="3"/>
        <v>-1.5292064404570738</v>
      </c>
      <c r="T198">
        <v>0</v>
      </c>
      <c r="U198">
        <v>664</v>
      </c>
      <c r="V198">
        <v>4</v>
      </c>
      <c r="W198">
        <v>1</v>
      </c>
      <c r="X198">
        <v>4.2</v>
      </c>
      <c r="Y198">
        <v>0.15</v>
      </c>
      <c r="Z198">
        <v>633.00995590955199</v>
      </c>
      <c r="AA198">
        <v>2310.0197912519002</v>
      </c>
      <c r="AB198">
        <v>2309.6219999999998</v>
      </c>
      <c r="AC198">
        <v>0.378</v>
      </c>
      <c r="AD198" t="s">
        <v>392</v>
      </c>
      <c r="AE198" t="s">
        <v>392</v>
      </c>
      <c r="AG198">
        <v>1579.7868000000001</v>
      </c>
      <c r="AH198">
        <v>1579.7868000000001</v>
      </c>
      <c r="AI198">
        <v>2323.5199308570541</v>
      </c>
      <c r="AJ198">
        <v>2323.5199308570541</v>
      </c>
      <c r="AK198">
        <v>2317.1499841255531</v>
      </c>
      <c r="AM198">
        <v>74.02362480097085</v>
      </c>
      <c r="AN198">
        <v>0.65746228346030777</v>
      </c>
    </row>
    <row r="199" spans="1:40" x14ac:dyDescent="0.3">
      <c r="B199" t="s">
        <v>393</v>
      </c>
      <c r="C199" s="2">
        <v>45959</v>
      </c>
      <c r="D199" t="s">
        <v>370</v>
      </c>
      <c r="E199">
        <v>13</v>
      </c>
      <c r="J199">
        <v>25.1</v>
      </c>
      <c r="K199">
        <v>169.05</v>
      </c>
      <c r="L199">
        <v>36</v>
      </c>
      <c r="M199">
        <v>9.9412731062620593E-2</v>
      </c>
      <c r="N199">
        <v>2300</v>
      </c>
      <c r="O199">
        <v>2243.340352209324</v>
      </c>
      <c r="S199">
        <f t="shared" si="3"/>
        <v>0</v>
      </c>
      <c r="U199">
        <v>609</v>
      </c>
      <c r="V199">
        <v>4</v>
      </c>
      <c r="W199">
        <v>1</v>
      </c>
      <c r="X199">
        <v>4.2</v>
      </c>
      <c r="Y199">
        <v>0.15</v>
      </c>
      <c r="Z199">
        <v>632.88146673206575</v>
      </c>
      <c r="AA199">
        <v>2318.8428407889692</v>
      </c>
      <c r="AB199">
        <v>2318.806</v>
      </c>
      <c r="AC199">
        <v>0.753</v>
      </c>
      <c r="AI199">
        <v>2341.7902692659231</v>
      </c>
      <c r="AJ199">
        <v>2341.7902692659231</v>
      </c>
      <c r="AK199">
        <v>2335.4257092779908</v>
      </c>
    </row>
    <row r="200" spans="1:40" x14ac:dyDescent="0.3">
      <c r="B200" t="s">
        <v>394</v>
      </c>
      <c r="C200" s="2">
        <v>45960</v>
      </c>
      <c r="D200" t="s">
        <v>370</v>
      </c>
      <c r="E200">
        <v>1</v>
      </c>
      <c r="J200">
        <v>24.8</v>
      </c>
      <c r="K200">
        <v>168.6</v>
      </c>
      <c r="L200">
        <v>36</v>
      </c>
      <c r="M200">
        <v>9.9412731062620593E-2</v>
      </c>
      <c r="N200">
        <v>2277.0118699999998</v>
      </c>
      <c r="O200">
        <v>2220.9185262741789</v>
      </c>
      <c r="S200">
        <f t="shared" si="3"/>
        <v>0</v>
      </c>
      <c r="U200">
        <v>584</v>
      </c>
      <c r="V200">
        <v>4</v>
      </c>
      <c r="X200">
        <v>4.2</v>
      </c>
      <c r="Y200">
        <v>0.15</v>
      </c>
      <c r="Z200">
        <v>632.57434950937977</v>
      </c>
      <c r="AA200">
        <v>2314.232952273087</v>
      </c>
      <c r="AI200">
        <v>2337.294328082904</v>
      </c>
      <c r="AJ200">
        <v>2337.294328082904</v>
      </c>
      <c r="AK200">
        <v>2330.9286743134649</v>
      </c>
    </row>
    <row r="201" spans="1:40" x14ac:dyDescent="0.3">
      <c r="B201" t="s">
        <v>395</v>
      </c>
      <c r="C201" s="2">
        <v>45960</v>
      </c>
      <c r="D201" t="s">
        <v>370</v>
      </c>
      <c r="E201">
        <v>2</v>
      </c>
      <c r="F201">
        <v>1</v>
      </c>
      <c r="G201">
        <v>282</v>
      </c>
      <c r="J201">
        <v>24.9</v>
      </c>
      <c r="K201">
        <v>169.2</v>
      </c>
      <c r="L201">
        <v>36</v>
      </c>
      <c r="M201">
        <v>9.9412731062620593E-2</v>
      </c>
      <c r="N201">
        <v>2277.0118699999998</v>
      </c>
      <c r="O201">
        <v>2220.9185262741789</v>
      </c>
      <c r="P201">
        <v>1636.15251142389</v>
      </c>
      <c r="Q201">
        <v>1713.418915056744</v>
      </c>
      <c r="R201">
        <v>1715.0335335335869</v>
      </c>
      <c r="S201">
        <f t="shared" si="3"/>
        <v>-1.6146184768429066</v>
      </c>
      <c r="T201">
        <v>0</v>
      </c>
      <c r="U201">
        <v>592</v>
      </c>
      <c r="V201">
        <v>4</v>
      </c>
      <c r="W201">
        <v>1</v>
      </c>
      <c r="X201">
        <v>4.2</v>
      </c>
      <c r="Y201">
        <v>0.15</v>
      </c>
      <c r="Z201">
        <v>632.73579643748656</v>
      </c>
      <c r="AA201">
        <v>2318.1517850146029</v>
      </c>
      <c r="AB201">
        <v>2318.806</v>
      </c>
      <c r="AC201">
        <v>0.753</v>
      </c>
      <c r="AD201" t="s">
        <v>396</v>
      </c>
      <c r="AE201" t="s">
        <v>396</v>
      </c>
      <c r="AG201">
        <v>1675.6321</v>
      </c>
      <c r="AH201">
        <v>1675.6321</v>
      </c>
      <c r="AI201">
        <v>2341.2394709451728</v>
      </c>
      <c r="AJ201">
        <v>2341.2394709451728</v>
      </c>
      <c r="AK201">
        <v>2334.8707723055759</v>
      </c>
      <c r="AM201">
        <v>73.670082538719029</v>
      </c>
      <c r="AN201">
        <v>0.65863288639582018</v>
      </c>
    </row>
    <row r="202" spans="1:40" x14ac:dyDescent="0.3">
      <c r="B202" t="s">
        <v>397</v>
      </c>
      <c r="C202" s="2">
        <v>45960</v>
      </c>
      <c r="D202" t="s">
        <v>370</v>
      </c>
      <c r="E202">
        <v>3</v>
      </c>
      <c r="F202">
        <v>1</v>
      </c>
      <c r="G202">
        <v>284</v>
      </c>
      <c r="J202">
        <v>25</v>
      </c>
      <c r="K202">
        <v>169</v>
      </c>
      <c r="L202">
        <v>36</v>
      </c>
      <c r="M202">
        <v>9.9412731062620593E-2</v>
      </c>
      <c r="N202">
        <v>2277.0118699999998</v>
      </c>
      <c r="O202">
        <v>2220.9185262741789</v>
      </c>
      <c r="P202">
        <v>1642.2351019334949</v>
      </c>
      <c r="Q202">
        <v>1719.791343803839</v>
      </c>
      <c r="R202">
        <v>1721.4120189644609</v>
      </c>
      <c r="S202">
        <f t="shared" si="3"/>
        <v>-1.6206751606218859</v>
      </c>
      <c r="T202">
        <v>0</v>
      </c>
      <c r="U202">
        <v>587</v>
      </c>
      <c r="V202">
        <v>4</v>
      </c>
      <c r="W202">
        <v>1</v>
      </c>
      <c r="X202">
        <v>4.2</v>
      </c>
      <c r="Y202">
        <v>0.15</v>
      </c>
      <c r="Z202">
        <v>632.76179163298093</v>
      </c>
      <c r="AA202">
        <v>2318.4834518172688</v>
      </c>
      <c r="AB202">
        <v>2318.806</v>
      </c>
      <c r="AC202">
        <v>0.753</v>
      </c>
      <c r="AD202" t="s">
        <v>398</v>
      </c>
      <c r="AE202" t="s">
        <v>398</v>
      </c>
      <c r="AG202">
        <v>1681.8114</v>
      </c>
      <c r="AH202">
        <v>1681.8114</v>
      </c>
      <c r="AI202">
        <v>2341.570695544227</v>
      </c>
      <c r="AJ202">
        <v>2341.570695544227</v>
      </c>
      <c r="AK202">
        <v>2335.203346884884</v>
      </c>
      <c r="AM202">
        <v>73.943959785346777</v>
      </c>
      <c r="AN202">
        <v>0.65863288639582018</v>
      </c>
    </row>
    <row r="203" spans="1:40" x14ac:dyDescent="0.3">
      <c r="B203" t="s">
        <v>399</v>
      </c>
      <c r="C203" s="2">
        <v>45960</v>
      </c>
      <c r="D203" t="s">
        <v>370</v>
      </c>
      <c r="E203">
        <v>4</v>
      </c>
      <c r="F203">
        <v>1</v>
      </c>
      <c r="G203">
        <v>285</v>
      </c>
      <c r="J203">
        <v>24.9</v>
      </c>
      <c r="K203">
        <v>169.05</v>
      </c>
      <c r="L203">
        <v>36</v>
      </c>
      <c r="M203">
        <v>9.9412731062620593E-2</v>
      </c>
      <c r="N203">
        <v>2277.0118699999998</v>
      </c>
      <c r="O203">
        <v>2220.9185262741789</v>
      </c>
      <c r="P203">
        <v>1903.7877981578999</v>
      </c>
      <c r="Q203">
        <v>1989.821281995532</v>
      </c>
      <c r="R203">
        <v>1991.619104154973</v>
      </c>
      <c r="S203">
        <f t="shared" si="3"/>
        <v>-1.7978221594410115</v>
      </c>
      <c r="T203">
        <v>0</v>
      </c>
      <c r="U203">
        <v>339</v>
      </c>
      <c r="V203">
        <v>4</v>
      </c>
      <c r="X203">
        <v>2.25</v>
      </c>
      <c r="Y203">
        <v>0.15</v>
      </c>
      <c r="AD203" t="s">
        <v>400</v>
      </c>
      <c r="AE203" t="s">
        <v>400</v>
      </c>
      <c r="AG203">
        <v>1949.7253000000001</v>
      </c>
      <c r="AH203">
        <v>1949.7253000000001</v>
      </c>
      <c r="AM203">
        <v>85.720740118805764</v>
      </c>
      <c r="AN203">
        <v>4.4250012427907812</v>
      </c>
    </row>
    <row r="204" spans="1:40" x14ac:dyDescent="0.3">
      <c r="B204" t="s">
        <v>401</v>
      </c>
      <c r="C204" s="2">
        <v>45960</v>
      </c>
      <c r="D204" t="s">
        <v>370</v>
      </c>
      <c r="E204">
        <v>5</v>
      </c>
      <c r="F204">
        <v>1</v>
      </c>
      <c r="G204">
        <v>286</v>
      </c>
      <c r="J204">
        <v>25</v>
      </c>
      <c r="K204">
        <v>169.05</v>
      </c>
      <c r="L204">
        <v>36</v>
      </c>
      <c r="M204">
        <v>9.9412731062620593E-2</v>
      </c>
      <c r="N204">
        <v>2277.0118699999998</v>
      </c>
      <c r="O204">
        <v>2220.9185262741789</v>
      </c>
      <c r="P204">
        <v>1727.0036606006499</v>
      </c>
      <c r="Q204">
        <v>1808.5989002578369</v>
      </c>
      <c r="R204">
        <v>1810.3039774372919</v>
      </c>
      <c r="S204">
        <f t="shared" si="3"/>
        <v>-1.7050771794549746</v>
      </c>
      <c r="T204">
        <v>0</v>
      </c>
      <c r="U204">
        <v>505</v>
      </c>
      <c r="V204">
        <v>4</v>
      </c>
      <c r="X204">
        <v>3.6</v>
      </c>
      <c r="Y204">
        <v>0.15</v>
      </c>
      <c r="Z204">
        <v>632.84317915584563</v>
      </c>
      <c r="AA204">
        <v>2320.5891435597559</v>
      </c>
      <c r="AD204" t="s">
        <v>402</v>
      </c>
      <c r="AE204" t="s">
        <v>402</v>
      </c>
      <c r="AG204">
        <v>1768.6228000000001</v>
      </c>
      <c r="AH204">
        <v>1768.6228000000001</v>
      </c>
      <c r="AI204">
        <v>2343.6255603288441</v>
      </c>
      <c r="AJ204">
        <v>2343.6255603288441</v>
      </c>
      <c r="AK204">
        <v>2337.297339793834</v>
      </c>
      <c r="AM204">
        <v>77.760784115654957</v>
      </c>
      <c r="AN204">
        <v>0.65888145162517642</v>
      </c>
    </row>
    <row r="205" spans="1:40" x14ac:dyDescent="0.3">
      <c r="B205" t="s">
        <v>403</v>
      </c>
      <c r="C205" s="2">
        <v>45960</v>
      </c>
      <c r="D205" t="s">
        <v>370</v>
      </c>
      <c r="E205">
        <v>6</v>
      </c>
      <c r="F205">
        <v>1</v>
      </c>
      <c r="G205">
        <v>287</v>
      </c>
      <c r="J205">
        <v>25</v>
      </c>
      <c r="K205">
        <v>169.05</v>
      </c>
      <c r="L205">
        <v>36</v>
      </c>
      <c r="M205">
        <v>9.9412731062620593E-2</v>
      </c>
      <c r="N205">
        <v>2277.0118699999998</v>
      </c>
      <c r="O205">
        <v>2220.9185262741789</v>
      </c>
      <c r="P205">
        <v>1808.879335016343</v>
      </c>
      <c r="Q205">
        <v>1894.3752754033601</v>
      </c>
      <c r="R205">
        <v>1896.161864639477</v>
      </c>
      <c r="S205">
        <f t="shared" si="3"/>
        <v>-1.7865892361169244</v>
      </c>
      <c r="T205">
        <v>0</v>
      </c>
      <c r="U205">
        <v>421</v>
      </c>
      <c r="V205">
        <v>4</v>
      </c>
      <c r="X205">
        <v>3</v>
      </c>
      <c r="Y205">
        <v>0.15</v>
      </c>
      <c r="Z205">
        <v>632.98789355887982</v>
      </c>
      <c r="AA205">
        <v>2322.4899043664141</v>
      </c>
      <c r="AD205" t="s">
        <v>404</v>
      </c>
      <c r="AE205" t="s">
        <v>404</v>
      </c>
      <c r="AG205">
        <v>1852.4716000000001</v>
      </c>
      <c r="AH205">
        <v>1852.4716000000001</v>
      </c>
      <c r="AI205">
        <v>2345.0860024202748</v>
      </c>
      <c r="AJ205">
        <v>2345.0860024202748</v>
      </c>
      <c r="AK205">
        <v>2339.0268498900759</v>
      </c>
      <c r="AM205">
        <v>81.447352238126712</v>
      </c>
      <c r="AN205">
        <v>0.65955503838079543</v>
      </c>
    </row>
    <row r="206" spans="1:40" x14ac:dyDescent="0.3">
      <c r="B206" t="s">
        <v>405</v>
      </c>
      <c r="C206" s="2">
        <v>45960</v>
      </c>
      <c r="D206" t="s">
        <v>370</v>
      </c>
      <c r="E206">
        <v>7</v>
      </c>
      <c r="F206">
        <v>1</v>
      </c>
      <c r="G206">
        <v>288</v>
      </c>
      <c r="J206">
        <v>25</v>
      </c>
      <c r="K206">
        <v>169.05</v>
      </c>
      <c r="L206">
        <v>36</v>
      </c>
      <c r="M206">
        <v>9.9412731062620593E-2</v>
      </c>
      <c r="N206">
        <v>2277.0118699999998</v>
      </c>
      <c r="O206">
        <v>2220.9185262741789</v>
      </c>
      <c r="P206">
        <v>1892.5220260193059</v>
      </c>
      <c r="Q206">
        <v>1981.9899177264961</v>
      </c>
      <c r="R206">
        <v>1983.859507926669</v>
      </c>
      <c r="S206">
        <f t="shared" si="3"/>
        <v>-1.8695902001729792</v>
      </c>
      <c r="T206">
        <v>0</v>
      </c>
      <c r="U206">
        <v>354</v>
      </c>
      <c r="V206">
        <v>4</v>
      </c>
      <c r="X206">
        <v>2.4</v>
      </c>
      <c r="Y206">
        <v>0.15</v>
      </c>
      <c r="AD206" t="s">
        <v>406</v>
      </c>
      <c r="AE206" t="s">
        <v>406</v>
      </c>
      <c r="AG206">
        <v>1938.13</v>
      </c>
      <c r="AH206">
        <v>1938.13</v>
      </c>
      <c r="AM206">
        <v>85.213482783369273</v>
      </c>
      <c r="AN206">
        <v>0.67246412902748132</v>
      </c>
    </row>
    <row r="207" spans="1:40" x14ac:dyDescent="0.3">
      <c r="B207" t="s">
        <v>407</v>
      </c>
      <c r="C207" s="2">
        <v>45960</v>
      </c>
      <c r="D207" t="s">
        <v>370</v>
      </c>
      <c r="E207">
        <v>8</v>
      </c>
      <c r="F207">
        <v>1</v>
      </c>
      <c r="G207">
        <v>289</v>
      </c>
      <c r="J207">
        <v>25.1</v>
      </c>
      <c r="K207">
        <v>169.1</v>
      </c>
      <c r="L207">
        <v>36</v>
      </c>
      <c r="M207">
        <v>9.9412731062620593E-2</v>
      </c>
      <c r="N207">
        <v>2277.0118699999998</v>
      </c>
      <c r="O207">
        <v>2220.9185262741789</v>
      </c>
      <c r="P207">
        <v>1970.090506669093</v>
      </c>
      <c r="Q207">
        <v>2045.288324774782</v>
      </c>
      <c r="R207">
        <v>2046.85971648998</v>
      </c>
      <c r="S207">
        <f t="shared" si="3"/>
        <v>-1.5713917151979331</v>
      </c>
      <c r="T207">
        <v>0</v>
      </c>
      <c r="U207">
        <v>300</v>
      </c>
      <c r="V207">
        <v>4</v>
      </c>
      <c r="X207">
        <v>1.95</v>
      </c>
      <c r="Y207">
        <v>0.15</v>
      </c>
      <c r="Z207">
        <v>479.07247982706087</v>
      </c>
      <c r="AA207">
        <v>599.85035842790739</v>
      </c>
      <c r="AD207" t="s">
        <v>408</v>
      </c>
      <c r="AE207" t="s">
        <v>408</v>
      </c>
      <c r="AG207">
        <v>2017.5075999999999</v>
      </c>
      <c r="AH207">
        <v>2017.5075999999999</v>
      </c>
      <c r="AI207">
        <v>604.67597903372268</v>
      </c>
      <c r="AJ207">
        <v>604.67597903372268</v>
      </c>
      <c r="AK207">
        <v>603.68658319324697</v>
      </c>
      <c r="AM207">
        <v>88.706113410388085</v>
      </c>
      <c r="AN207">
        <v>17.649335141318609</v>
      </c>
    </row>
    <row r="208" spans="1:40" x14ac:dyDescent="0.3">
      <c r="B208" t="s">
        <v>409</v>
      </c>
      <c r="C208" s="2">
        <v>45960</v>
      </c>
      <c r="D208" t="s">
        <v>370</v>
      </c>
      <c r="E208">
        <v>9</v>
      </c>
      <c r="F208">
        <v>1</v>
      </c>
      <c r="G208">
        <v>290</v>
      </c>
      <c r="J208">
        <v>25.1</v>
      </c>
      <c r="L208">
        <v>36</v>
      </c>
      <c r="M208">
        <v>9.9412731062620593E-2</v>
      </c>
      <c r="N208">
        <v>2277.0118699999998</v>
      </c>
      <c r="O208">
        <v>2220.9185262741789</v>
      </c>
      <c r="P208">
        <v>2208.7297223440492</v>
      </c>
      <c r="Q208">
        <v>2208.1489202264911</v>
      </c>
      <c r="R208">
        <v>2208.1367833366362</v>
      </c>
      <c r="S208">
        <f t="shared" si="3"/>
        <v>1.2136889854900801E-2</v>
      </c>
      <c r="T208">
        <v>0</v>
      </c>
      <c r="U208">
        <v>0</v>
      </c>
      <c r="V208">
        <v>4</v>
      </c>
      <c r="X208">
        <v>0</v>
      </c>
      <c r="Y208">
        <v>0.15</v>
      </c>
      <c r="AD208" t="s">
        <v>410</v>
      </c>
      <c r="AE208" t="s">
        <v>410</v>
      </c>
      <c r="AG208">
        <v>2261.8905</v>
      </c>
      <c r="AH208">
        <v>2261.8905</v>
      </c>
      <c r="AM208">
        <v>99.451181851745915</v>
      </c>
      <c r="AN208">
        <v>100</v>
      </c>
    </row>
    <row r="209" spans="2:40" x14ac:dyDescent="0.3">
      <c r="B209" t="s">
        <v>411</v>
      </c>
      <c r="C209" s="2">
        <v>45960</v>
      </c>
      <c r="D209" t="s">
        <v>370</v>
      </c>
      <c r="E209">
        <v>10</v>
      </c>
      <c r="F209">
        <v>1</v>
      </c>
      <c r="G209">
        <v>292</v>
      </c>
      <c r="J209">
        <v>25.1</v>
      </c>
      <c r="K209">
        <v>169</v>
      </c>
      <c r="L209">
        <v>36</v>
      </c>
      <c r="M209">
        <v>9.9412731062620593E-2</v>
      </c>
      <c r="N209">
        <v>2277.0118699999998</v>
      </c>
      <c r="O209">
        <v>2220.9185262741789</v>
      </c>
      <c r="P209">
        <v>2014.436759557394</v>
      </c>
      <c r="Q209">
        <v>2077.9516864681141</v>
      </c>
      <c r="R209">
        <v>2079.27894346111</v>
      </c>
      <c r="S209">
        <f t="shared" si="3"/>
        <v>-1.3272569929958991</v>
      </c>
      <c r="T209">
        <v>0</v>
      </c>
      <c r="U209">
        <v>268</v>
      </c>
      <c r="V209">
        <v>4</v>
      </c>
      <c r="X209">
        <v>1.65</v>
      </c>
      <c r="Y209">
        <v>0.15</v>
      </c>
      <c r="Z209">
        <v>467.52843926905109</v>
      </c>
      <c r="AA209">
        <v>394.61654016213112</v>
      </c>
      <c r="AD209" t="s">
        <v>412</v>
      </c>
      <c r="AE209" t="s">
        <v>412</v>
      </c>
      <c r="AG209">
        <v>2062.9212000000002</v>
      </c>
      <c r="AH209">
        <v>2062.9212000000002</v>
      </c>
      <c r="AI209">
        <v>397.28513241118111</v>
      </c>
      <c r="AJ209">
        <v>397.28513241118111</v>
      </c>
      <c r="AK209">
        <v>396.9259015431071</v>
      </c>
      <c r="AM209">
        <v>90.702866211702982</v>
      </c>
      <c r="AN209">
        <v>30.685618478158599</v>
      </c>
    </row>
    <row r="210" spans="2:40" x14ac:dyDescent="0.3">
      <c r="B210" t="s">
        <v>413</v>
      </c>
      <c r="C210" s="2">
        <v>45960</v>
      </c>
      <c r="D210" t="s">
        <v>370</v>
      </c>
      <c r="E210">
        <v>11</v>
      </c>
      <c r="F210">
        <v>1</v>
      </c>
      <c r="G210">
        <v>293</v>
      </c>
      <c r="J210">
        <v>25.1</v>
      </c>
      <c r="K210">
        <v>168.9</v>
      </c>
      <c r="L210">
        <v>36</v>
      </c>
      <c r="M210">
        <v>9.9412731062620593E-2</v>
      </c>
      <c r="N210">
        <v>2277.0118699999998</v>
      </c>
      <c r="O210">
        <v>2220.9185262741789</v>
      </c>
      <c r="P210">
        <v>2084.0256601638471</v>
      </c>
      <c r="Q210">
        <v>2130.482053894757</v>
      </c>
      <c r="R210">
        <v>2131.4528425966851</v>
      </c>
      <c r="S210">
        <f t="shared" si="3"/>
        <v>-0.97078870192808608</v>
      </c>
      <c r="T210">
        <v>0</v>
      </c>
      <c r="U210">
        <v>201</v>
      </c>
      <c r="V210">
        <v>4</v>
      </c>
      <c r="X210">
        <v>1.2</v>
      </c>
      <c r="Y210">
        <v>0.15</v>
      </c>
      <c r="Z210">
        <v>460.82510946042379</v>
      </c>
      <c r="AA210">
        <v>296.52795941230642</v>
      </c>
      <c r="AD210" t="s">
        <v>414</v>
      </c>
      <c r="AE210" t="s">
        <v>414</v>
      </c>
      <c r="AG210">
        <v>2134.1849999999999</v>
      </c>
      <c r="AH210">
        <v>2134.1849999999999</v>
      </c>
      <c r="AI210">
        <v>298.24505923885471</v>
      </c>
      <c r="AJ210">
        <v>298.24505923885471</v>
      </c>
      <c r="AK210">
        <v>298.14285289201058</v>
      </c>
      <c r="AM210">
        <v>93.836204953453034</v>
      </c>
      <c r="AN210">
        <v>49.938100571245677</v>
      </c>
    </row>
    <row r="211" spans="2:40" x14ac:dyDescent="0.3">
      <c r="B211" t="s">
        <v>415</v>
      </c>
      <c r="C211" s="2">
        <v>45960</v>
      </c>
      <c r="D211" t="s">
        <v>370</v>
      </c>
      <c r="E211">
        <v>12</v>
      </c>
      <c r="F211">
        <v>1</v>
      </c>
      <c r="G211">
        <v>294</v>
      </c>
      <c r="J211">
        <v>25.1</v>
      </c>
      <c r="K211">
        <v>168.8</v>
      </c>
      <c r="L211">
        <v>36</v>
      </c>
      <c r="M211">
        <v>9.9412731062620593E-2</v>
      </c>
      <c r="N211">
        <v>2277.0118699999998</v>
      </c>
      <c r="O211">
        <v>2220.9185262741789</v>
      </c>
      <c r="P211">
        <v>2083.549520132924</v>
      </c>
      <c r="Q211">
        <v>2129.9832255722008</v>
      </c>
      <c r="R211">
        <v>2130.953540162056</v>
      </c>
      <c r="S211">
        <f t="shared" si="3"/>
        <v>-0.97031458985520658</v>
      </c>
      <c r="T211">
        <v>0</v>
      </c>
      <c r="U211">
        <v>203</v>
      </c>
      <c r="V211">
        <v>4</v>
      </c>
      <c r="X211">
        <v>1.2</v>
      </c>
      <c r="Y211">
        <v>0.15</v>
      </c>
      <c r="Z211">
        <v>460.78474507995992</v>
      </c>
      <c r="AA211">
        <v>295.86244882896148</v>
      </c>
      <c r="AD211" t="s">
        <v>416</v>
      </c>
      <c r="AE211" t="s">
        <v>416</v>
      </c>
      <c r="AG211">
        <v>2133.6974</v>
      </c>
      <c r="AH211">
        <v>2133.6974</v>
      </c>
      <c r="AI211">
        <v>297.57734020147223</v>
      </c>
      <c r="AJ211">
        <v>297.57734020147223</v>
      </c>
      <c r="AK211">
        <v>297.47436242482542</v>
      </c>
      <c r="AM211">
        <v>93.814766074660753</v>
      </c>
      <c r="AN211">
        <v>49.938100571245677</v>
      </c>
    </row>
    <row r="212" spans="2:40" x14ac:dyDescent="0.3">
      <c r="B212" t="s">
        <v>417</v>
      </c>
      <c r="C212" s="2">
        <v>45960</v>
      </c>
      <c r="D212" t="s">
        <v>370</v>
      </c>
      <c r="E212">
        <v>13</v>
      </c>
      <c r="F212">
        <v>1</v>
      </c>
      <c r="G212">
        <v>295</v>
      </c>
      <c r="J212">
        <v>25.1</v>
      </c>
      <c r="K212">
        <v>168.8</v>
      </c>
      <c r="L212">
        <v>36</v>
      </c>
      <c r="M212">
        <v>9.9412731062620593E-2</v>
      </c>
      <c r="N212">
        <v>2277.0118699999998</v>
      </c>
      <c r="O212">
        <v>2220.9185262741789</v>
      </c>
      <c r="P212">
        <v>1659.961540953321</v>
      </c>
      <c r="Q212">
        <v>1738.3624558021199</v>
      </c>
      <c r="R212">
        <v>1740.0007819020091</v>
      </c>
      <c r="S212">
        <f t="shared" si="3"/>
        <v>-1.6383260998891274</v>
      </c>
      <c r="T212">
        <v>0</v>
      </c>
      <c r="U212">
        <v>585</v>
      </c>
      <c r="V212">
        <v>4</v>
      </c>
      <c r="W212">
        <v>1</v>
      </c>
      <c r="X212">
        <v>4.2</v>
      </c>
      <c r="Y212">
        <v>0.15</v>
      </c>
      <c r="Z212">
        <v>632.77613178034517</v>
      </c>
      <c r="AA212">
        <v>2319.882785646972</v>
      </c>
      <c r="AB212">
        <v>2318.806</v>
      </c>
      <c r="AC212">
        <v>0.753</v>
      </c>
      <c r="AD212" t="s">
        <v>418</v>
      </c>
      <c r="AE212" t="s">
        <v>418</v>
      </c>
      <c r="AG212">
        <v>1699.9142999999999</v>
      </c>
      <c r="AH212">
        <v>1699.9142999999999</v>
      </c>
      <c r="AI212">
        <v>2342.975672042624</v>
      </c>
      <c r="AJ212">
        <v>2342.975672042624</v>
      </c>
      <c r="AK212">
        <v>2336.6095405489109</v>
      </c>
      <c r="AM212">
        <v>74.742117791150079</v>
      </c>
      <c r="AN212">
        <v>0.65863288639582018</v>
      </c>
    </row>
    <row r="213" spans="2:40" x14ac:dyDescent="0.3">
      <c r="B213" t="s">
        <v>419</v>
      </c>
      <c r="C213" s="2">
        <v>45960</v>
      </c>
      <c r="D213" t="s">
        <v>370</v>
      </c>
      <c r="E213">
        <v>14</v>
      </c>
      <c r="F213">
        <v>1</v>
      </c>
      <c r="G213">
        <v>296</v>
      </c>
      <c r="J213">
        <v>25.1</v>
      </c>
      <c r="K213">
        <v>169.1</v>
      </c>
      <c r="L213">
        <v>36</v>
      </c>
      <c r="M213">
        <v>9.9412731062620593E-2</v>
      </c>
      <c r="N213">
        <v>2277.0118699999998</v>
      </c>
      <c r="O213">
        <v>2220.9185262741789</v>
      </c>
      <c r="P213">
        <v>2025.0427885111801</v>
      </c>
      <c r="Q213">
        <v>2089.0630975833119</v>
      </c>
      <c r="R213">
        <v>2090.4009154324799</v>
      </c>
      <c r="S213">
        <f t="shared" si="3"/>
        <v>-1.3378178491680046</v>
      </c>
      <c r="T213">
        <v>0</v>
      </c>
      <c r="U213">
        <v>274</v>
      </c>
      <c r="V213">
        <v>4</v>
      </c>
      <c r="X213">
        <v>1.65</v>
      </c>
      <c r="Y213">
        <v>0.15</v>
      </c>
      <c r="Z213">
        <v>467.75005159544003</v>
      </c>
      <c r="AA213">
        <v>395.92707986636219</v>
      </c>
      <c r="AD213" t="s">
        <v>420</v>
      </c>
      <c r="AE213" t="s">
        <v>420</v>
      </c>
      <c r="AG213">
        <v>2073.7824999999998</v>
      </c>
      <c r="AH213">
        <v>2073.7824999999998</v>
      </c>
      <c r="AI213">
        <v>398.60042175685311</v>
      </c>
      <c r="AJ213">
        <v>398.60042175685311</v>
      </c>
      <c r="AK213">
        <v>398.24245538347958</v>
      </c>
      <c r="AM213">
        <v>91.180417676482676</v>
      </c>
      <c r="AN213">
        <v>30.685618478158599</v>
      </c>
    </row>
    <row r="214" spans="2:40" x14ac:dyDescent="0.3">
      <c r="B214" t="s">
        <v>421</v>
      </c>
      <c r="C214" s="2">
        <v>45960</v>
      </c>
      <c r="D214" t="s">
        <v>370</v>
      </c>
      <c r="E214">
        <v>15</v>
      </c>
      <c r="F214">
        <v>1</v>
      </c>
      <c r="G214">
        <v>297</v>
      </c>
      <c r="J214">
        <v>25.1</v>
      </c>
      <c r="K214">
        <v>168.85</v>
      </c>
      <c r="L214">
        <v>36</v>
      </c>
      <c r="M214">
        <v>9.9412731062620593E-2</v>
      </c>
      <c r="N214">
        <v>2277.0118699999998</v>
      </c>
      <c r="O214">
        <v>2220.9185262741789</v>
      </c>
      <c r="P214">
        <v>2111.3987318062532</v>
      </c>
      <c r="Q214">
        <v>2152.4406720651</v>
      </c>
      <c r="R214">
        <v>2153.2983161633342</v>
      </c>
      <c r="S214">
        <f t="shared" si="3"/>
        <v>-0.85764409823423193</v>
      </c>
      <c r="T214">
        <v>0</v>
      </c>
      <c r="U214">
        <v>183</v>
      </c>
      <c r="V214">
        <v>4</v>
      </c>
      <c r="X214">
        <v>1.05</v>
      </c>
      <c r="Y214">
        <v>0.15</v>
      </c>
      <c r="Z214">
        <v>458.39365476573369</v>
      </c>
      <c r="AA214">
        <v>260.54895287867907</v>
      </c>
      <c r="AD214" t="s">
        <v>422</v>
      </c>
      <c r="AE214" t="s">
        <v>422</v>
      </c>
      <c r="AG214">
        <v>2162.2168999999999</v>
      </c>
      <c r="AH214">
        <v>2162.2168999999999</v>
      </c>
      <c r="AI214">
        <v>261.87398743066097</v>
      </c>
      <c r="AJ214">
        <v>261.87398743066097</v>
      </c>
      <c r="AK214">
        <v>261.89122615683698</v>
      </c>
      <c r="AM214">
        <v>95.068716246351613</v>
      </c>
      <c r="AN214">
        <v>56.286898872256181</v>
      </c>
    </row>
    <row r="215" spans="2:40" x14ac:dyDescent="0.3">
      <c r="B215" t="s">
        <v>423</v>
      </c>
      <c r="C215" s="2">
        <v>45960</v>
      </c>
      <c r="D215" t="s">
        <v>370</v>
      </c>
      <c r="E215">
        <v>16</v>
      </c>
      <c r="F215">
        <v>1</v>
      </c>
      <c r="G215">
        <v>298</v>
      </c>
      <c r="J215">
        <v>25.1</v>
      </c>
      <c r="K215">
        <v>168.8</v>
      </c>
      <c r="L215">
        <v>36</v>
      </c>
      <c r="M215">
        <v>9.9412731062620593E-2</v>
      </c>
      <c r="N215">
        <v>2277.0118699999998</v>
      </c>
      <c r="O215">
        <v>2220.9185262741789</v>
      </c>
      <c r="P215">
        <v>2126.143644109236</v>
      </c>
      <c r="Q215">
        <v>2161.2012511214061</v>
      </c>
      <c r="R215">
        <v>2161.933841967807</v>
      </c>
      <c r="S215">
        <f t="shared" si="3"/>
        <v>-0.73259084640085348</v>
      </c>
      <c r="T215">
        <v>0</v>
      </c>
      <c r="U215">
        <v>171</v>
      </c>
      <c r="V215">
        <v>4</v>
      </c>
      <c r="X215">
        <v>0.9</v>
      </c>
      <c r="Y215">
        <v>0.15</v>
      </c>
      <c r="Z215">
        <v>453.68761345975622</v>
      </c>
      <c r="AA215">
        <v>191.40167678546041</v>
      </c>
      <c r="AD215" t="s">
        <v>424</v>
      </c>
      <c r="AE215" t="s">
        <v>424</v>
      </c>
      <c r="AG215">
        <v>2177.3166999999999</v>
      </c>
      <c r="AH215">
        <v>2177.3166999999999</v>
      </c>
      <c r="AI215">
        <v>191.50252661606359</v>
      </c>
      <c r="AJ215">
        <v>191.50252661606359</v>
      </c>
      <c r="AK215">
        <v>192.02053295808301</v>
      </c>
      <c r="AM215">
        <v>95.732626791855452</v>
      </c>
      <c r="AN215">
        <v>62.60559370950309</v>
      </c>
    </row>
    <row r="216" spans="2:40" x14ac:dyDescent="0.3">
      <c r="B216" t="s">
        <v>425</v>
      </c>
      <c r="C216" s="2">
        <v>45960</v>
      </c>
      <c r="D216" t="s">
        <v>370</v>
      </c>
      <c r="E216">
        <v>17</v>
      </c>
      <c r="F216">
        <v>1</v>
      </c>
      <c r="G216">
        <v>299</v>
      </c>
      <c r="J216">
        <v>25.1</v>
      </c>
      <c r="K216">
        <v>168.85</v>
      </c>
      <c r="L216">
        <v>36</v>
      </c>
      <c r="M216">
        <v>9.9412731062620593E-2</v>
      </c>
      <c r="N216">
        <v>2277.0118699999998</v>
      </c>
      <c r="O216">
        <v>2220.9185262741789</v>
      </c>
      <c r="P216">
        <v>2140.9179489777048</v>
      </c>
      <c r="Q216">
        <v>2170.022107750518</v>
      </c>
      <c r="R216">
        <v>2170.630290742065</v>
      </c>
      <c r="S216">
        <f t="shared" si="3"/>
        <v>-0.60818299154698252</v>
      </c>
      <c r="T216">
        <v>0</v>
      </c>
      <c r="U216">
        <v>140</v>
      </c>
      <c r="V216">
        <v>4</v>
      </c>
      <c r="X216">
        <v>0.75</v>
      </c>
      <c r="Y216">
        <v>0.15</v>
      </c>
      <c r="Z216">
        <v>451.27121380030047</v>
      </c>
      <c r="AA216">
        <v>166.53690050812861</v>
      </c>
      <c r="AD216" t="s">
        <v>426</v>
      </c>
      <c r="AE216" t="s">
        <v>426</v>
      </c>
      <c r="AG216">
        <v>2192.4466000000002</v>
      </c>
      <c r="AH216">
        <v>2192.4466000000002</v>
      </c>
      <c r="AI216">
        <v>166.27435572559611</v>
      </c>
      <c r="AJ216">
        <v>166.27435572559611</v>
      </c>
      <c r="AK216">
        <v>166.92810737485669</v>
      </c>
      <c r="AM216">
        <v>96.397860779220778</v>
      </c>
      <c r="AN216">
        <v>68.896427775926128</v>
      </c>
    </row>
    <row r="217" spans="2:40" x14ac:dyDescent="0.3">
      <c r="B217" t="s">
        <v>427</v>
      </c>
      <c r="C217" s="2">
        <v>45960</v>
      </c>
      <c r="D217" t="s">
        <v>370</v>
      </c>
      <c r="E217">
        <v>18</v>
      </c>
      <c r="F217">
        <v>1</v>
      </c>
      <c r="G217">
        <v>301</v>
      </c>
      <c r="J217">
        <v>25.1</v>
      </c>
      <c r="K217">
        <v>168.85</v>
      </c>
      <c r="L217">
        <v>36</v>
      </c>
      <c r="M217">
        <v>9.9412731062620593E-2</v>
      </c>
      <c r="N217">
        <v>2277.0118699999998</v>
      </c>
      <c r="O217">
        <v>2220.9185262741789</v>
      </c>
      <c r="P217">
        <v>2157.801097182477</v>
      </c>
      <c r="Q217">
        <v>2181.0795895811029</v>
      </c>
      <c r="R217">
        <v>2181.5660349463928</v>
      </c>
      <c r="S217">
        <f t="shared" si="3"/>
        <v>-0.48644536528991011</v>
      </c>
      <c r="T217">
        <v>0</v>
      </c>
      <c r="U217">
        <v>127</v>
      </c>
      <c r="V217">
        <v>4</v>
      </c>
      <c r="X217">
        <v>0.6</v>
      </c>
      <c r="Y217">
        <v>0.15</v>
      </c>
      <c r="Z217">
        <v>449.02861419029512</v>
      </c>
      <c r="AA217">
        <v>148.3307615178482</v>
      </c>
      <c r="AD217" t="s">
        <v>428</v>
      </c>
      <c r="AE217" t="s">
        <v>428</v>
      </c>
      <c r="AG217">
        <v>2209.7361000000001</v>
      </c>
      <c r="AH217">
        <v>2209.7361000000001</v>
      </c>
      <c r="AI217">
        <v>147.6597273693362</v>
      </c>
      <c r="AJ217">
        <v>147.6597273693362</v>
      </c>
      <c r="AK217">
        <v>148.49479022470319</v>
      </c>
      <c r="AM217">
        <v>97.15804842253317</v>
      </c>
      <c r="AN217">
        <v>75.161470403706204</v>
      </c>
    </row>
    <row r="218" spans="2:40" x14ac:dyDescent="0.3">
      <c r="B218" t="s">
        <v>429</v>
      </c>
      <c r="C218" s="2">
        <v>45960</v>
      </c>
      <c r="D218" t="s">
        <v>370</v>
      </c>
      <c r="E218">
        <v>19</v>
      </c>
      <c r="F218">
        <v>1</v>
      </c>
      <c r="G218">
        <v>302</v>
      </c>
      <c r="J218">
        <v>25</v>
      </c>
      <c r="K218">
        <v>168.95</v>
      </c>
      <c r="L218">
        <v>36</v>
      </c>
      <c r="M218">
        <v>9.9412731062620593E-2</v>
      </c>
      <c r="N218">
        <v>2277.0118699999998</v>
      </c>
      <c r="O218">
        <v>2220.9185262741789</v>
      </c>
      <c r="P218">
        <v>2171.3521853859138</v>
      </c>
      <c r="Q218">
        <v>2188.671506118847</v>
      </c>
      <c r="R218">
        <v>2189.033424028145</v>
      </c>
      <c r="S218">
        <f t="shared" si="3"/>
        <v>-0.36191790929797207</v>
      </c>
      <c r="T218">
        <v>0</v>
      </c>
      <c r="U218">
        <v>92</v>
      </c>
      <c r="V218">
        <v>4</v>
      </c>
      <c r="X218">
        <v>0.45</v>
      </c>
      <c r="Y218">
        <v>0.15</v>
      </c>
      <c r="Z218">
        <v>444.13568280958572</v>
      </c>
      <c r="AA218">
        <v>107.4977841043642</v>
      </c>
      <c r="AD218" t="s">
        <v>430</v>
      </c>
      <c r="AE218" t="s">
        <v>430</v>
      </c>
      <c r="AG218">
        <v>2223.6797000000001</v>
      </c>
      <c r="AH218">
        <v>2223.6797000000001</v>
      </c>
      <c r="AI218">
        <v>104.0215357302699</v>
      </c>
      <c r="AJ218">
        <v>104.0215357302699</v>
      </c>
      <c r="AK218">
        <v>106.3395392991725</v>
      </c>
      <c r="AM218">
        <v>97.768205348288134</v>
      </c>
      <c r="AN218">
        <v>81.402635653682438</v>
      </c>
    </row>
    <row r="219" spans="2:40" x14ac:dyDescent="0.3">
      <c r="B219" t="s">
        <v>431</v>
      </c>
      <c r="C219" s="2">
        <v>45960</v>
      </c>
      <c r="D219" t="s">
        <v>370</v>
      </c>
      <c r="E219">
        <v>20</v>
      </c>
      <c r="F219">
        <v>1</v>
      </c>
      <c r="G219">
        <v>303</v>
      </c>
      <c r="J219">
        <v>25.2</v>
      </c>
      <c r="K219">
        <v>168.9</v>
      </c>
      <c r="L219">
        <v>36</v>
      </c>
      <c r="M219">
        <v>9.9412731062620593E-2</v>
      </c>
      <c r="N219">
        <v>2277.0118699999998</v>
      </c>
      <c r="O219">
        <v>2220.9185262741789</v>
      </c>
      <c r="P219">
        <v>2184.320146465373</v>
      </c>
      <c r="Q219">
        <v>2195.6759000073789</v>
      </c>
      <c r="R219">
        <v>2195.913198608393</v>
      </c>
      <c r="S219">
        <f t="shared" si="3"/>
        <v>-0.23729860101411759</v>
      </c>
      <c r="T219">
        <v>0</v>
      </c>
      <c r="U219">
        <v>57</v>
      </c>
      <c r="V219">
        <v>4</v>
      </c>
      <c r="X219">
        <v>0.3</v>
      </c>
      <c r="Y219">
        <v>0.15</v>
      </c>
      <c r="Z219">
        <v>410.13022824063779</v>
      </c>
      <c r="AA219">
        <v>-146.80054848007521</v>
      </c>
      <c r="AD219" t="s">
        <v>432</v>
      </c>
      <c r="AE219" t="s">
        <v>432</v>
      </c>
      <c r="AG219">
        <v>2236.8265000000001</v>
      </c>
      <c r="AH219">
        <v>2236.8265000000001</v>
      </c>
      <c r="AI219">
        <v>-143.05171757503689</v>
      </c>
      <c r="AJ219">
        <v>-143.05171757503689</v>
      </c>
      <c r="AK219">
        <v>-145.8664471393416</v>
      </c>
      <c r="AM219">
        <v>98.35210614996295</v>
      </c>
      <c r="AN219">
        <v>87.621698249318513</v>
      </c>
    </row>
    <row r="220" spans="2:40" x14ac:dyDescent="0.3">
      <c r="B220" t="s">
        <v>433</v>
      </c>
      <c r="C220" s="2">
        <v>45960</v>
      </c>
      <c r="D220" t="s">
        <v>370</v>
      </c>
      <c r="E220">
        <v>21</v>
      </c>
      <c r="F220">
        <v>1</v>
      </c>
      <c r="G220">
        <v>304</v>
      </c>
      <c r="J220">
        <v>25.1</v>
      </c>
      <c r="L220">
        <v>36</v>
      </c>
      <c r="M220">
        <v>9.9412731062620593E-2</v>
      </c>
      <c r="N220">
        <v>2277.0118699999998</v>
      </c>
      <c r="O220">
        <v>2220.9185262741789</v>
      </c>
      <c r="P220">
        <v>2196.0711939419489</v>
      </c>
      <c r="Q220">
        <v>2201.4270390400789</v>
      </c>
      <c r="R220">
        <v>2201.5389589179031</v>
      </c>
      <c r="S220">
        <f t="shared" si="3"/>
        <v>-0.11191987782422075</v>
      </c>
      <c r="T220">
        <v>0</v>
      </c>
      <c r="U220">
        <v>0</v>
      </c>
      <c r="V220">
        <v>4</v>
      </c>
      <c r="X220">
        <v>0.15</v>
      </c>
      <c r="Y220">
        <v>0.15</v>
      </c>
      <c r="AD220" t="s">
        <v>434</v>
      </c>
      <c r="AE220" t="s">
        <v>434</v>
      </c>
      <c r="AG220">
        <v>2248.9272999999998</v>
      </c>
      <c r="AH220">
        <v>2248.9272999999998</v>
      </c>
      <c r="AM220">
        <v>98.881213694321602</v>
      </c>
      <c r="AN220">
        <v>93.820307578051214</v>
      </c>
    </row>
    <row r="221" spans="2:40" x14ac:dyDescent="0.3">
      <c r="B221" t="s">
        <v>435</v>
      </c>
      <c r="C221" s="2">
        <v>45960</v>
      </c>
      <c r="D221" t="s">
        <v>370</v>
      </c>
      <c r="E221">
        <v>22</v>
      </c>
      <c r="F221">
        <v>1</v>
      </c>
      <c r="G221">
        <v>305</v>
      </c>
      <c r="J221">
        <v>25.1</v>
      </c>
      <c r="L221">
        <v>36</v>
      </c>
      <c r="M221">
        <v>9.9412731062620593E-2</v>
      </c>
      <c r="N221">
        <v>2277.0118699999998</v>
      </c>
      <c r="O221">
        <v>2220.9185262741789</v>
      </c>
      <c r="P221">
        <v>2203.1856595352579</v>
      </c>
      <c r="Q221">
        <v>2202.3406802730292</v>
      </c>
      <c r="R221">
        <v>2202.323022933419</v>
      </c>
      <c r="S221">
        <f t="shared" si="3"/>
        <v>1.7657339610195777E-2</v>
      </c>
      <c r="T221">
        <v>0</v>
      </c>
      <c r="U221">
        <v>0</v>
      </c>
      <c r="V221">
        <v>4</v>
      </c>
      <c r="X221">
        <v>0</v>
      </c>
      <c r="Y221">
        <v>0.15</v>
      </c>
      <c r="AD221" t="s">
        <v>436</v>
      </c>
      <c r="AE221" t="s">
        <v>436</v>
      </c>
      <c r="AG221">
        <v>2256.2130000000002</v>
      </c>
      <c r="AH221">
        <v>2256.2130000000002</v>
      </c>
      <c r="AM221">
        <v>99.201552577047039</v>
      </c>
      <c r="AN221">
        <v>100</v>
      </c>
    </row>
    <row r="222" spans="2:40" x14ac:dyDescent="0.3">
      <c r="B222" t="s">
        <v>437</v>
      </c>
      <c r="C222" s="2">
        <v>45960</v>
      </c>
      <c r="D222" t="s">
        <v>370</v>
      </c>
      <c r="E222">
        <v>23</v>
      </c>
      <c r="G222">
        <v>307</v>
      </c>
      <c r="H222" t="s">
        <v>438</v>
      </c>
      <c r="I222" t="s">
        <v>40</v>
      </c>
      <c r="J222">
        <v>25.1</v>
      </c>
      <c r="K222">
        <v>168.9</v>
      </c>
      <c r="L222">
        <v>36</v>
      </c>
      <c r="M222">
        <v>9.9412731062620593E-2</v>
      </c>
      <c r="N222">
        <v>2277.0118699999998</v>
      </c>
      <c r="O222">
        <v>2220.9185262741789</v>
      </c>
      <c r="P222">
        <v>1684.8624146541999</v>
      </c>
      <c r="Q222">
        <v>1764.44986759627</v>
      </c>
      <c r="R222">
        <v>1766.112988513037</v>
      </c>
      <c r="S222">
        <f t="shared" si="3"/>
        <v>-1.6631209167669567</v>
      </c>
      <c r="T222">
        <v>0</v>
      </c>
      <c r="U222">
        <v>596</v>
      </c>
      <c r="V222">
        <v>4</v>
      </c>
      <c r="X222">
        <v>4.2</v>
      </c>
      <c r="Y222">
        <v>0.15</v>
      </c>
      <c r="Z222">
        <v>633.13396340759937</v>
      </c>
      <c r="AA222">
        <v>2321.2671390179949</v>
      </c>
      <c r="AD222" t="s">
        <v>439</v>
      </c>
      <c r="AE222" t="s">
        <v>439</v>
      </c>
      <c r="AG222">
        <v>1725.4145000000001</v>
      </c>
      <c r="AH222">
        <v>1725.4145000000001</v>
      </c>
      <c r="AI222">
        <v>2344.372387972845</v>
      </c>
      <c r="AJ222">
        <v>2344.372387972845</v>
      </c>
      <c r="AK222">
        <v>2338.003306988373</v>
      </c>
      <c r="AM222">
        <v>75.863314872731124</v>
      </c>
      <c r="AN222">
        <v>0.65863288639582018</v>
      </c>
    </row>
    <row r="223" spans="2:40" x14ac:dyDescent="0.3">
      <c r="B223" t="s">
        <v>440</v>
      </c>
      <c r="C223" s="2">
        <v>45964</v>
      </c>
      <c r="D223" t="s">
        <v>370</v>
      </c>
      <c r="E223">
        <v>1</v>
      </c>
      <c r="J223">
        <v>24.8</v>
      </c>
      <c r="K223">
        <v>168.05</v>
      </c>
      <c r="L223">
        <v>36</v>
      </c>
      <c r="M223">
        <v>9.9412731062620593E-2</v>
      </c>
      <c r="N223">
        <v>2263.9175</v>
      </c>
      <c r="O223">
        <v>2208.146731227328</v>
      </c>
      <c r="S223">
        <f t="shared" si="3"/>
        <v>0</v>
      </c>
      <c r="U223">
        <v>603</v>
      </c>
      <c r="V223">
        <v>4</v>
      </c>
      <c r="X223">
        <v>4.2</v>
      </c>
      <c r="Y223">
        <v>0.15</v>
      </c>
      <c r="Z223">
        <v>633.63075051389717</v>
      </c>
      <c r="AA223">
        <v>2259.9346906553051</v>
      </c>
    </row>
    <row r="224" spans="2:40" x14ac:dyDescent="0.3">
      <c r="B224" t="s">
        <v>441</v>
      </c>
      <c r="C224" s="2">
        <v>45964</v>
      </c>
      <c r="D224" t="s">
        <v>370</v>
      </c>
      <c r="E224">
        <v>2</v>
      </c>
      <c r="J224">
        <v>25.1</v>
      </c>
      <c r="K224">
        <v>167.9</v>
      </c>
      <c r="L224">
        <v>36</v>
      </c>
      <c r="M224">
        <v>9.9412731062620593E-2</v>
      </c>
      <c r="N224">
        <v>2263.9175</v>
      </c>
      <c r="O224">
        <v>2208.146731227328</v>
      </c>
      <c r="S224">
        <f t="shared" si="3"/>
        <v>0</v>
      </c>
      <c r="V224">
        <v>4</v>
      </c>
      <c r="W224">
        <v>1</v>
      </c>
      <c r="X224">
        <v>4.2</v>
      </c>
      <c r="Y224">
        <v>0.15</v>
      </c>
      <c r="Z224">
        <v>633.6216018817646</v>
      </c>
      <c r="AA224">
        <v>2302.1064877497752</v>
      </c>
      <c r="AB224">
        <v>2308.6469999999999</v>
      </c>
      <c r="AC224">
        <v>9.25</v>
      </c>
    </row>
    <row r="225" spans="2:40" x14ac:dyDescent="0.3">
      <c r="B225" t="s">
        <v>442</v>
      </c>
      <c r="C225" s="2">
        <v>45964</v>
      </c>
      <c r="D225" t="s">
        <v>370</v>
      </c>
      <c r="E225">
        <v>3</v>
      </c>
      <c r="F225">
        <v>1</v>
      </c>
      <c r="G225">
        <v>313</v>
      </c>
      <c r="J225">
        <v>25.2</v>
      </c>
      <c r="K225">
        <v>167.9</v>
      </c>
      <c r="L225">
        <v>36</v>
      </c>
      <c r="M225">
        <v>9.9412731062620593E-2</v>
      </c>
      <c r="N225">
        <v>2263.9175</v>
      </c>
      <c r="O225">
        <v>2208.146731227328</v>
      </c>
      <c r="P225">
        <v>1648.281071743037</v>
      </c>
      <c r="Q225">
        <v>1726.1277958392741</v>
      </c>
      <c r="R225">
        <v>1727.7545411409551</v>
      </c>
      <c r="S225">
        <f t="shared" si="3"/>
        <v>-1.6267453016810123</v>
      </c>
      <c r="T225">
        <v>0</v>
      </c>
      <c r="U225">
        <v>649</v>
      </c>
      <c r="V225">
        <v>4</v>
      </c>
      <c r="W225">
        <v>1</v>
      </c>
      <c r="X225">
        <v>4.2</v>
      </c>
      <c r="Y225">
        <v>0.15</v>
      </c>
      <c r="Z225">
        <v>633.71930809093044</v>
      </c>
      <c r="AA225">
        <v>2315.1879974276321</v>
      </c>
      <c r="AB225">
        <v>2308.6469999999999</v>
      </c>
      <c r="AC225">
        <v>9.25</v>
      </c>
      <c r="AD225" t="s">
        <v>443</v>
      </c>
      <c r="AE225" t="s">
        <v>443</v>
      </c>
      <c r="AG225">
        <v>1687.9022</v>
      </c>
      <c r="AH225">
        <v>1687.9022</v>
      </c>
      <c r="AM225">
        <v>74.645450342282842</v>
      </c>
      <c r="AN225">
        <v>0.66017190101883494</v>
      </c>
    </row>
    <row r="226" spans="2:40" x14ac:dyDescent="0.3">
      <c r="B226" t="s">
        <v>444</v>
      </c>
      <c r="C226" s="2">
        <v>45964</v>
      </c>
      <c r="D226" t="s">
        <v>370</v>
      </c>
      <c r="E226">
        <v>4</v>
      </c>
      <c r="F226">
        <v>1</v>
      </c>
      <c r="G226">
        <v>315</v>
      </c>
      <c r="J226">
        <v>24.9</v>
      </c>
      <c r="L226">
        <v>36</v>
      </c>
      <c r="M226">
        <v>9.9412731062620593E-2</v>
      </c>
      <c r="N226">
        <v>2263.9175</v>
      </c>
      <c r="O226">
        <v>2208.146731227328</v>
      </c>
      <c r="P226">
        <v>504.42584228665231</v>
      </c>
      <c r="Q226">
        <v>2381.660400391173</v>
      </c>
      <c r="R226">
        <v>2458.9980169262531</v>
      </c>
      <c r="S226">
        <f t="shared" si="3"/>
        <v>-77.337616535080087</v>
      </c>
      <c r="T226">
        <v>52</v>
      </c>
      <c r="U226">
        <v>37</v>
      </c>
      <c r="V226">
        <v>4</v>
      </c>
      <c r="X226">
        <v>3</v>
      </c>
      <c r="Y226">
        <v>3</v>
      </c>
      <c r="AD226" t="s">
        <v>445</v>
      </c>
      <c r="AE226" t="s">
        <v>445</v>
      </c>
      <c r="AG226">
        <v>516.59739999999999</v>
      </c>
      <c r="AH226">
        <v>516.59739999999999</v>
      </c>
      <c r="AM226">
        <v>22.84385521818486</v>
      </c>
      <c r="AN226">
        <v>0.66106982804387304</v>
      </c>
    </row>
    <row r="227" spans="2:40" x14ac:dyDescent="0.3">
      <c r="B227" t="s">
        <v>446</v>
      </c>
      <c r="C227" s="2">
        <v>45964</v>
      </c>
      <c r="D227" t="s">
        <v>370</v>
      </c>
      <c r="E227">
        <v>5</v>
      </c>
      <c r="F227">
        <v>1</v>
      </c>
      <c r="G227">
        <v>316</v>
      </c>
      <c r="J227">
        <v>24.9</v>
      </c>
      <c r="L227">
        <v>36</v>
      </c>
      <c r="M227">
        <v>9.9412731062620593E-2</v>
      </c>
      <c r="N227">
        <v>2263.9175</v>
      </c>
      <c r="O227">
        <v>2208.146731227328</v>
      </c>
      <c r="P227">
        <v>1997.8042260852769</v>
      </c>
      <c r="Q227">
        <v>2092.304944573435</v>
      </c>
      <c r="R227">
        <v>2094.27970461107</v>
      </c>
      <c r="S227">
        <f t="shared" si="3"/>
        <v>-1.974760037634951</v>
      </c>
      <c r="T227">
        <v>0</v>
      </c>
      <c r="U227">
        <v>37</v>
      </c>
      <c r="V227">
        <v>4</v>
      </c>
      <c r="X227">
        <v>3</v>
      </c>
      <c r="Y227">
        <v>3</v>
      </c>
      <c r="AD227" t="s">
        <v>447</v>
      </c>
      <c r="AE227" t="s">
        <v>447</v>
      </c>
      <c r="AG227">
        <v>2046.0102999999999</v>
      </c>
      <c r="AH227">
        <v>2046.0102999999999</v>
      </c>
      <c r="AM227">
        <v>90.474251454062625</v>
      </c>
      <c r="AN227">
        <v>0.66106982804387304</v>
      </c>
    </row>
    <row r="228" spans="2:40" x14ac:dyDescent="0.3">
      <c r="B228" t="s">
        <v>448</v>
      </c>
      <c r="C228" s="2">
        <v>45964</v>
      </c>
      <c r="D228" t="s">
        <v>370</v>
      </c>
      <c r="E228">
        <v>6</v>
      </c>
      <c r="F228">
        <v>1</v>
      </c>
      <c r="G228">
        <v>317</v>
      </c>
      <c r="J228">
        <v>24.9</v>
      </c>
      <c r="L228">
        <v>36</v>
      </c>
      <c r="M228">
        <v>9.9412731062620593E-2</v>
      </c>
      <c r="N228">
        <v>2263.9175</v>
      </c>
      <c r="O228">
        <v>2208.146731227328</v>
      </c>
      <c r="P228">
        <v>1515.5236294632839</v>
      </c>
      <c r="Q228">
        <v>2124.4802095075429</v>
      </c>
      <c r="R228">
        <v>2139.194969652192</v>
      </c>
      <c r="S228">
        <f t="shared" si="3"/>
        <v>-14.714760144649063</v>
      </c>
      <c r="T228">
        <v>10</v>
      </c>
      <c r="U228">
        <v>37</v>
      </c>
      <c r="V228">
        <v>4</v>
      </c>
      <c r="X228">
        <v>3</v>
      </c>
      <c r="Y228">
        <v>3</v>
      </c>
      <c r="AD228" t="s">
        <v>449</v>
      </c>
      <c r="AE228" t="s">
        <v>449</v>
      </c>
      <c r="AG228">
        <v>1552.0925</v>
      </c>
      <c r="AH228">
        <v>1552.0925</v>
      </c>
      <c r="AM228">
        <v>68.633284556272599</v>
      </c>
      <c r="AN228">
        <v>0.66106982804387304</v>
      </c>
    </row>
    <row r="229" spans="2:40" x14ac:dyDescent="0.3">
      <c r="B229" t="s">
        <v>450</v>
      </c>
      <c r="C229" s="2">
        <v>45964</v>
      </c>
      <c r="D229" t="s">
        <v>370</v>
      </c>
      <c r="E229">
        <v>7</v>
      </c>
      <c r="F229">
        <v>1</v>
      </c>
      <c r="G229">
        <v>318</v>
      </c>
      <c r="J229">
        <v>25</v>
      </c>
      <c r="L229">
        <v>36</v>
      </c>
      <c r="M229">
        <v>9.9412731062620593E-2</v>
      </c>
      <c r="N229">
        <v>2263.9175</v>
      </c>
      <c r="O229">
        <v>2208.146731227328</v>
      </c>
      <c r="P229">
        <v>1796.630031535462</v>
      </c>
      <c r="Q229">
        <v>2114.5287239757372</v>
      </c>
      <c r="R229">
        <v>2121.5752903471948</v>
      </c>
      <c r="S229">
        <f t="shared" si="3"/>
        <v>-7.0465663714576294</v>
      </c>
      <c r="T229">
        <v>4</v>
      </c>
      <c r="U229">
        <v>37</v>
      </c>
      <c r="V229">
        <v>4</v>
      </c>
      <c r="X229">
        <v>3</v>
      </c>
      <c r="Y229">
        <v>3</v>
      </c>
      <c r="AD229" t="s">
        <v>451</v>
      </c>
      <c r="AE229" t="s">
        <v>451</v>
      </c>
      <c r="AG229">
        <v>1839.9271000000001</v>
      </c>
      <c r="AH229">
        <v>1839.9271000000001</v>
      </c>
      <c r="AM229">
        <v>81.363706773999681</v>
      </c>
      <c r="AN229">
        <v>0.66106982804387304</v>
      </c>
    </row>
    <row r="230" spans="2:40" x14ac:dyDescent="0.3">
      <c r="B230" t="s">
        <v>452</v>
      </c>
      <c r="C230" s="2">
        <v>45964</v>
      </c>
      <c r="D230" t="s">
        <v>370</v>
      </c>
      <c r="E230">
        <v>8</v>
      </c>
      <c r="F230">
        <v>1</v>
      </c>
      <c r="G230">
        <v>319</v>
      </c>
      <c r="J230">
        <v>25</v>
      </c>
      <c r="L230">
        <v>36</v>
      </c>
      <c r="M230">
        <v>9.9412731062620593E-2</v>
      </c>
      <c r="N230">
        <v>2263.9175</v>
      </c>
      <c r="O230">
        <v>2208.146731227328</v>
      </c>
      <c r="P230">
        <v>1741.377367975907</v>
      </c>
      <c r="Q230">
        <v>2141.1632143872721</v>
      </c>
      <c r="R230">
        <v>2150.2203519176492</v>
      </c>
      <c r="S230">
        <f t="shared" si="3"/>
        <v>-9.0571375303770765</v>
      </c>
      <c r="T230">
        <v>5.5</v>
      </c>
      <c r="U230">
        <v>37</v>
      </c>
      <c r="V230">
        <v>4</v>
      </c>
      <c r="X230">
        <v>3</v>
      </c>
      <c r="Y230">
        <v>3</v>
      </c>
      <c r="AD230" t="s">
        <v>453</v>
      </c>
      <c r="AE230" t="s">
        <v>453</v>
      </c>
      <c r="AG230">
        <v>1783.3429000000001</v>
      </c>
      <c r="AH230">
        <v>1783.3429000000001</v>
      </c>
      <c r="AM230">
        <v>78.861487932372029</v>
      </c>
      <c r="AN230">
        <v>0.66106982804387304</v>
      </c>
    </row>
    <row r="231" spans="2:40" x14ac:dyDescent="0.3">
      <c r="B231" t="s">
        <v>454</v>
      </c>
      <c r="C231" s="2">
        <v>45964</v>
      </c>
      <c r="D231" t="s">
        <v>370</v>
      </c>
      <c r="E231">
        <v>9</v>
      </c>
      <c r="F231">
        <v>1</v>
      </c>
      <c r="G231">
        <v>320</v>
      </c>
      <c r="J231">
        <v>25.2</v>
      </c>
      <c r="L231">
        <v>36</v>
      </c>
      <c r="M231">
        <v>9.9412731062620593E-2</v>
      </c>
      <c r="N231">
        <v>2263.9175</v>
      </c>
      <c r="O231">
        <v>2208.146731227328</v>
      </c>
      <c r="P231">
        <v>811.12265763710889</v>
      </c>
      <c r="Q231">
        <v>2152.5605294461998</v>
      </c>
      <c r="R231">
        <v>2196.0774472223688</v>
      </c>
      <c r="S231">
        <f t="shared" si="3"/>
        <v>-43.516917776169066</v>
      </c>
      <c r="T231">
        <v>32</v>
      </c>
      <c r="U231">
        <v>37</v>
      </c>
      <c r="V231">
        <v>4</v>
      </c>
      <c r="X231">
        <v>3</v>
      </c>
      <c r="Y231">
        <v>3</v>
      </c>
      <c r="AD231" t="s">
        <v>455</v>
      </c>
      <c r="AE231" t="s">
        <v>455</v>
      </c>
      <c r="AG231">
        <v>830.62030000000004</v>
      </c>
      <c r="AH231">
        <v>830.62030000000004</v>
      </c>
      <c r="AM231">
        <v>36.733186529967249</v>
      </c>
      <c r="AN231">
        <v>0.66106982804387304</v>
      </c>
    </row>
    <row r="232" spans="2:40" x14ac:dyDescent="0.3">
      <c r="B232" t="s">
        <v>456</v>
      </c>
      <c r="C232" s="2">
        <v>45964</v>
      </c>
      <c r="D232" t="s">
        <v>370</v>
      </c>
      <c r="E232">
        <v>10</v>
      </c>
      <c r="F232">
        <v>1</v>
      </c>
      <c r="G232">
        <v>321</v>
      </c>
      <c r="J232">
        <v>25.2</v>
      </c>
      <c r="L232">
        <v>36</v>
      </c>
      <c r="M232">
        <v>9.9412731062620593E-2</v>
      </c>
      <c r="N232">
        <v>2263.9175</v>
      </c>
      <c r="O232">
        <v>2208.146731227328</v>
      </c>
      <c r="P232">
        <v>1137.7581437880369</v>
      </c>
      <c r="Q232">
        <v>2261.3745396517688</v>
      </c>
      <c r="R232">
        <v>2293.3924286350762</v>
      </c>
      <c r="S232">
        <f t="shared" si="3"/>
        <v>-32.01788898330733</v>
      </c>
      <c r="T232">
        <v>22</v>
      </c>
      <c r="U232">
        <v>37</v>
      </c>
      <c r="V232">
        <v>4</v>
      </c>
      <c r="X232">
        <v>3</v>
      </c>
      <c r="Y232">
        <v>3</v>
      </c>
      <c r="AD232" t="s">
        <v>457</v>
      </c>
      <c r="AE232" t="s">
        <v>457</v>
      </c>
      <c r="AG232">
        <v>1165.1074000000001</v>
      </c>
      <c r="AH232">
        <v>1165.1074000000001</v>
      </c>
      <c r="AM232">
        <v>51.525477347044337</v>
      </c>
      <c r="AN232">
        <v>0.66106982804387304</v>
      </c>
    </row>
    <row r="233" spans="2:40" x14ac:dyDescent="0.3">
      <c r="B233" t="s">
        <v>458</v>
      </c>
      <c r="C233" s="2">
        <v>45964</v>
      </c>
      <c r="D233" t="s">
        <v>370</v>
      </c>
      <c r="E233">
        <v>11</v>
      </c>
      <c r="F233">
        <v>1</v>
      </c>
      <c r="G233">
        <v>322</v>
      </c>
      <c r="J233">
        <v>25.2</v>
      </c>
      <c r="L233">
        <v>36</v>
      </c>
      <c r="M233">
        <v>9.9412731062620593E-2</v>
      </c>
      <c r="N233">
        <v>2263.9175</v>
      </c>
      <c r="O233">
        <v>2208.146731227328</v>
      </c>
      <c r="P233">
        <v>1955.6514496195859</v>
      </c>
      <c r="Q233">
        <v>2108.817360987257</v>
      </c>
      <c r="R233">
        <v>2112.0659189215089</v>
      </c>
      <c r="S233">
        <f t="shared" si="3"/>
        <v>-3.2485579342519486</v>
      </c>
      <c r="T233">
        <v>1</v>
      </c>
      <c r="U233">
        <v>37</v>
      </c>
      <c r="V233">
        <v>4</v>
      </c>
      <c r="X233">
        <v>3</v>
      </c>
      <c r="Y233">
        <v>3</v>
      </c>
      <c r="AD233" t="s">
        <v>459</v>
      </c>
      <c r="AE233" t="s">
        <v>459</v>
      </c>
      <c r="AG233">
        <v>2002.6611</v>
      </c>
      <c r="AH233">
        <v>2002.6611</v>
      </c>
      <c r="AM233">
        <v>88.565285176162163</v>
      </c>
      <c r="AN233">
        <v>0.66106982804387304</v>
      </c>
    </row>
    <row r="234" spans="2:40" x14ac:dyDescent="0.3">
      <c r="B234" t="s">
        <v>460</v>
      </c>
      <c r="C234" s="2">
        <v>45964</v>
      </c>
      <c r="D234" t="s">
        <v>370</v>
      </c>
      <c r="E234">
        <v>12</v>
      </c>
      <c r="F234">
        <v>1</v>
      </c>
      <c r="G234">
        <v>323</v>
      </c>
      <c r="J234">
        <v>25.2</v>
      </c>
      <c r="L234">
        <v>36</v>
      </c>
      <c r="M234">
        <v>9.9412731062620593E-2</v>
      </c>
      <c r="N234">
        <v>2263.9175</v>
      </c>
      <c r="O234">
        <v>2208.146731227328</v>
      </c>
      <c r="P234">
        <v>1904.8285233467029</v>
      </c>
      <c r="Q234">
        <v>2114.832119163902</v>
      </c>
      <c r="R234">
        <v>2119.3524814759412</v>
      </c>
      <c r="S234">
        <f t="shared" si="3"/>
        <v>-4.5203623120391967</v>
      </c>
      <c r="T234">
        <v>2</v>
      </c>
      <c r="U234">
        <v>37</v>
      </c>
      <c r="V234">
        <v>4</v>
      </c>
      <c r="X234">
        <v>3</v>
      </c>
      <c r="Y234">
        <v>3</v>
      </c>
      <c r="AD234" t="s">
        <v>461</v>
      </c>
      <c r="AE234" t="s">
        <v>461</v>
      </c>
      <c r="AG234">
        <v>1950.6165000000001</v>
      </c>
      <c r="AH234">
        <v>1950.6165000000001</v>
      </c>
      <c r="AM234">
        <v>86.263675162925637</v>
      </c>
      <c r="AN234">
        <v>0.66106982804387304</v>
      </c>
    </row>
    <row r="235" spans="2:40" x14ac:dyDescent="0.3">
      <c r="B235" t="s">
        <v>462</v>
      </c>
      <c r="C235" s="2">
        <v>45964</v>
      </c>
      <c r="D235" t="s">
        <v>370</v>
      </c>
      <c r="E235">
        <v>13</v>
      </c>
      <c r="F235">
        <v>1</v>
      </c>
      <c r="G235">
        <v>324</v>
      </c>
      <c r="J235">
        <v>25.2</v>
      </c>
      <c r="L235">
        <v>36</v>
      </c>
      <c r="M235">
        <v>9.9412731062620593E-2</v>
      </c>
      <c r="N235">
        <v>2263.9175</v>
      </c>
      <c r="O235">
        <v>2208.146731227328</v>
      </c>
      <c r="P235">
        <v>1931.5536098066459</v>
      </c>
      <c r="Q235">
        <v>2113.44539644919</v>
      </c>
      <c r="R235">
        <v>2117.3318591273178</v>
      </c>
      <c r="S235">
        <f t="shared" si="3"/>
        <v>-3.8864626781278275</v>
      </c>
      <c r="T235">
        <v>1.5</v>
      </c>
      <c r="U235">
        <v>37</v>
      </c>
      <c r="V235">
        <v>4</v>
      </c>
      <c r="X235">
        <v>3</v>
      </c>
      <c r="Y235">
        <v>3</v>
      </c>
      <c r="AD235" t="s">
        <v>463</v>
      </c>
      <c r="AE235" t="s">
        <v>463</v>
      </c>
      <c r="AG235">
        <v>1977.9839999999999</v>
      </c>
      <c r="AH235">
        <v>1977.9839999999999</v>
      </c>
      <c r="AM235">
        <v>87.473970026124732</v>
      </c>
      <c r="AN235">
        <v>0.66106982804387304</v>
      </c>
    </row>
    <row r="236" spans="2:40" x14ac:dyDescent="0.3">
      <c r="B236" t="s">
        <v>464</v>
      </c>
      <c r="C236" s="2">
        <v>45964</v>
      </c>
      <c r="D236" t="s">
        <v>370</v>
      </c>
      <c r="E236">
        <v>14</v>
      </c>
      <c r="F236">
        <v>1</v>
      </c>
      <c r="G236">
        <v>325</v>
      </c>
      <c r="J236">
        <v>25.2</v>
      </c>
      <c r="L236">
        <v>36</v>
      </c>
      <c r="M236">
        <v>9.9412731062620593E-2</v>
      </c>
      <c r="N236">
        <v>2263.9175</v>
      </c>
      <c r="O236">
        <v>2208.146731227328</v>
      </c>
      <c r="P236">
        <v>2009.907842741585</v>
      </c>
      <c r="Q236">
        <v>2104.9853041344941</v>
      </c>
      <c r="R236">
        <v>2106.9721162375358</v>
      </c>
      <c r="S236">
        <f t="shared" si="3"/>
        <v>-1.9868121030417569</v>
      </c>
      <c r="T236">
        <v>0</v>
      </c>
      <c r="U236">
        <v>37</v>
      </c>
      <c r="V236">
        <v>4</v>
      </c>
      <c r="X236">
        <v>3</v>
      </c>
      <c r="Y236">
        <v>3</v>
      </c>
      <c r="AD236" t="s">
        <v>465</v>
      </c>
      <c r="AE236" t="s">
        <v>465</v>
      </c>
      <c r="AG236">
        <v>2058.2217000000001</v>
      </c>
      <c r="AH236">
        <v>2058.2217000000001</v>
      </c>
      <c r="AM236">
        <v>91.022386072344105</v>
      </c>
      <c r="AN236">
        <v>0.66106982804387304</v>
      </c>
    </row>
    <row r="237" spans="2:40" x14ac:dyDescent="0.3">
      <c r="B237" t="s">
        <v>466</v>
      </c>
      <c r="C237" s="2">
        <v>45965</v>
      </c>
      <c r="D237" t="s">
        <v>370</v>
      </c>
      <c r="E237">
        <v>1</v>
      </c>
      <c r="F237">
        <v>1</v>
      </c>
      <c r="J237">
        <v>25.2</v>
      </c>
      <c r="K237">
        <v>168.25</v>
      </c>
      <c r="L237">
        <v>36</v>
      </c>
      <c r="M237">
        <v>9.9412731062620593E-2</v>
      </c>
      <c r="N237">
        <v>2249.6105200000002</v>
      </c>
      <c r="O237">
        <v>2194.1921983785219</v>
      </c>
      <c r="S237">
        <f t="shared" si="3"/>
        <v>0</v>
      </c>
      <c r="U237">
        <v>610</v>
      </c>
      <c r="V237">
        <v>4</v>
      </c>
      <c r="W237">
        <v>1</v>
      </c>
      <c r="X237">
        <v>4.2</v>
      </c>
      <c r="Y237">
        <v>0.15</v>
      </c>
      <c r="Z237">
        <v>634.09157561278562</v>
      </c>
      <c r="AA237">
        <v>2324.1437875744118</v>
      </c>
      <c r="AB237">
        <v>2321.7849999999999</v>
      </c>
      <c r="AC237">
        <v>3.335</v>
      </c>
    </row>
    <row r="238" spans="2:40" x14ac:dyDescent="0.3">
      <c r="B238" t="s">
        <v>467</v>
      </c>
      <c r="C238" s="2">
        <v>45965</v>
      </c>
      <c r="D238" t="s">
        <v>370</v>
      </c>
      <c r="E238">
        <v>2</v>
      </c>
      <c r="F238">
        <v>1</v>
      </c>
      <c r="G238">
        <v>331</v>
      </c>
      <c r="J238">
        <v>25.2</v>
      </c>
      <c r="L238">
        <v>36</v>
      </c>
      <c r="M238">
        <v>9.9412731062620593E-2</v>
      </c>
      <c r="N238">
        <v>2249.6105200000002</v>
      </c>
      <c r="O238">
        <v>2194.1921983785219</v>
      </c>
      <c r="P238">
        <v>891.44752086258109</v>
      </c>
      <c r="Q238">
        <v>2193.692950369169</v>
      </c>
      <c r="R238">
        <v>2255.4979343708892</v>
      </c>
      <c r="S238">
        <f t="shared" si="3"/>
        <v>-61.804984001720186</v>
      </c>
      <c r="T238">
        <v>65</v>
      </c>
      <c r="U238">
        <v>20</v>
      </c>
      <c r="V238">
        <v>4</v>
      </c>
      <c r="X238">
        <v>1.65</v>
      </c>
      <c r="Y238">
        <v>1.65</v>
      </c>
      <c r="AD238" t="s">
        <v>468</v>
      </c>
      <c r="AE238" t="s">
        <v>468</v>
      </c>
      <c r="AG238">
        <v>912.87599999999998</v>
      </c>
      <c r="AH238">
        <v>912.87599999999998</v>
      </c>
      <c r="AM238">
        <v>40.627595044834663</v>
      </c>
      <c r="AN238">
        <v>30.86927691107287</v>
      </c>
    </row>
    <row r="239" spans="2:40" x14ac:dyDescent="0.3">
      <c r="B239" t="s">
        <v>469</v>
      </c>
      <c r="C239" s="2">
        <v>45965</v>
      </c>
      <c r="D239" t="s">
        <v>370</v>
      </c>
      <c r="E239">
        <v>3</v>
      </c>
      <c r="F239">
        <v>1</v>
      </c>
      <c r="G239">
        <v>332</v>
      </c>
      <c r="J239">
        <v>25.2</v>
      </c>
      <c r="L239">
        <v>36</v>
      </c>
      <c r="M239">
        <v>9.9412731062620593E-2</v>
      </c>
      <c r="N239">
        <v>2249.6105200000002</v>
      </c>
      <c r="O239">
        <v>2194.1921983785219</v>
      </c>
      <c r="P239">
        <v>1147.0968611291789</v>
      </c>
      <c r="Q239">
        <v>2181.4821736323311</v>
      </c>
      <c r="R239">
        <v>2217.6333536815409</v>
      </c>
      <c r="S239">
        <f t="shared" si="3"/>
        <v>-36.15118004920987</v>
      </c>
      <c r="T239">
        <v>38</v>
      </c>
      <c r="U239">
        <v>20</v>
      </c>
      <c r="V239">
        <v>4</v>
      </c>
      <c r="X239">
        <v>1.65</v>
      </c>
      <c r="Y239">
        <v>1.65</v>
      </c>
      <c r="AD239" t="s">
        <v>470</v>
      </c>
      <c r="AE239" t="s">
        <v>470</v>
      </c>
      <c r="AG239">
        <v>1174.6705999999999</v>
      </c>
      <c r="AH239">
        <v>1174.6705999999999</v>
      </c>
      <c r="AM239">
        <v>52.278777673937043</v>
      </c>
      <c r="AN239">
        <v>30.86927691107287</v>
      </c>
    </row>
    <row r="240" spans="2:40" x14ac:dyDescent="0.3">
      <c r="B240" t="s">
        <v>471</v>
      </c>
      <c r="C240" s="2">
        <v>45965</v>
      </c>
      <c r="D240" t="s">
        <v>370</v>
      </c>
      <c r="E240">
        <v>4</v>
      </c>
      <c r="F240">
        <v>1</v>
      </c>
      <c r="G240">
        <v>333</v>
      </c>
      <c r="J240">
        <v>25.2</v>
      </c>
      <c r="L240">
        <v>36</v>
      </c>
      <c r="M240">
        <v>9.9412731062620593E-2</v>
      </c>
      <c r="N240">
        <v>2249.6105200000002</v>
      </c>
      <c r="O240">
        <v>2194.1921983785219</v>
      </c>
      <c r="P240">
        <v>271.10462841437283</v>
      </c>
      <c r="Q240">
        <v>2527.1411218953458</v>
      </c>
      <c r="R240">
        <v>2646.877845744069</v>
      </c>
      <c r="S240">
        <f t="shared" si="3"/>
        <v>-119.73672384872316</v>
      </c>
      <c r="T240">
        <v>76</v>
      </c>
      <c r="U240">
        <v>50</v>
      </c>
      <c r="V240">
        <v>4</v>
      </c>
      <c r="X240">
        <v>4.2</v>
      </c>
      <c r="Y240">
        <v>4.2</v>
      </c>
      <c r="AD240" t="s">
        <v>472</v>
      </c>
      <c r="AE240" t="s">
        <v>472</v>
      </c>
      <c r="AG240">
        <v>277.62139999999999</v>
      </c>
      <c r="AH240">
        <v>277.62139999999999</v>
      </c>
      <c r="AM240">
        <v>12.355555206818959</v>
      </c>
      <c r="AN240">
        <v>0.6529755493791406</v>
      </c>
    </row>
    <row r="241" spans="2:40" x14ac:dyDescent="0.3">
      <c r="B241" t="s">
        <v>473</v>
      </c>
      <c r="C241" s="2">
        <v>45965</v>
      </c>
      <c r="D241" t="s">
        <v>370</v>
      </c>
      <c r="E241">
        <v>5</v>
      </c>
      <c r="F241">
        <v>1</v>
      </c>
      <c r="G241">
        <v>334</v>
      </c>
      <c r="J241">
        <v>25.2</v>
      </c>
      <c r="L241">
        <v>36</v>
      </c>
      <c r="M241">
        <v>9.9412731062620593E-2</v>
      </c>
      <c r="N241">
        <v>2249.6105200000002</v>
      </c>
      <c r="O241">
        <v>2194.1921983785219</v>
      </c>
      <c r="P241">
        <v>1544.634707198665</v>
      </c>
      <c r="Q241">
        <v>2089.580488322877</v>
      </c>
      <c r="R241">
        <v>2103.7025086297972</v>
      </c>
      <c r="S241">
        <f t="shared" si="3"/>
        <v>-14.122020306920149</v>
      </c>
      <c r="T241">
        <v>15</v>
      </c>
      <c r="U241">
        <v>20</v>
      </c>
      <c r="V241">
        <v>4</v>
      </c>
      <c r="X241">
        <v>1.65</v>
      </c>
      <c r="Y241">
        <v>1.65</v>
      </c>
      <c r="AD241" t="s">
        <v>474</v>
      </c>
      <c r="AE241" t="s">
        <v>474</v>
      </c>
      <c r="AG241">
        <v>1581.7644</v>
      </c>
      <c r="AH241">
        <v>1581.7644</v>
      </c>
      <c r="AM241">
        <v>70.396508944846715</v>
      </c>
      <c r="AN241">
        <v>30.86927691107287</v>
      </c>
    </row>
    <row r="242" spans="2:40" x14ac:dyDescent="0.3">
      <c r="B242" t="s">
        <v>475</v>
      </c>
      <c r="C242" s="2">
        <v>45965</v>
      </c>
      <c r="D242" t="s">
        <v>370</v>
      </c>
      <c r="E242">
        <v>6</v>
      </c>
      <c r="F242">
        <v>1</v>
      </c>
      <c r="G242">
        <v>335</v>
      </c>
      <c r="J242">
        <v>25.1</v>
      </c>
      <c r="L242">
        <v>36</v>
      </c>
      <c r="M242">
        <v>9.9412731062620593E-2</v>
      </c>
      <c r="N242">
        <v>2249.6105200000002</v>
      </c>
      <c r="O242">
        <v>2194.1921983785219</v>
      </c>
      <c r="P242">
        <v>2054.7051601710109</v>
      </c>
      <c r="Q242">
        <v>2127.4254589599468</v>
      </c>
      <c r="R242">
        <v>2128.9488517006971</v>
      </c>
      <c r="S242">
        <f t="shared" si="3"/>
        <v>-1.5233927407502961</v>
      </c>
      <c r="T242">
        <v>0.16666</v>
      </c>
      <c r="U242">
        <v>20</v>
      </c>
      <c r="V242">
        <v>4</v>
      </c>
      <c r="X242">
        <v>1.65</v>
      </c>
      <c r="Y242">
        <v>1.65</v>
      </c>
      <c r="AD242" t="s">
        <v>476</v>
      </c>
      <c r="AE242" t="s">
        <v>476</v>
      </c>
      <c r="AG242">
        <v>2104.1588000000002</v>
      </c>
      <c r="AH242">
        <v>2104.1588000000002</v>
      </c>
      <c r="AM242">
        <v>93.64289790517941</v>
      </c>
      <c r="AN242">
        <v>30.86927691107287</v>
      </c>
    </row>
    <row r="243" spans="2:40" x14ac:dyDescent="0.3">
      <c r="B243" t="s">
        <v>477</v>
      </c>
      <c r="C243" s="2">
        <v>45965</v>
      </c>
      <c r="D243" t="s">
        <v>370</v>
      </c>
      <c r="E243">
        <v>7</v>
      </c>
      <c r="F243">
        <v>1</v>
      </c>
      <c r="G243">
        <v>336</v>
      </c>
      <c r="J243">
        <v>25</v>
      </c>
      <c r="L243">
        <v>36</v>
      </c>
      <c r="M243">
        <v>9.9412731062620593E-2</v>
      </c>
      <c r="N243">
        <v>2249.6105200000002</v>
      </c>
      <c r="O243">
        <v>2194.1921983785219</v>
      </c>
      <c r="P243">
        <v>2054.107275770486</v>
      </c>
      <c r="Q243">
        <v>2119.7112863565881</v>
      </c>
      <c r="R243">
        <v>2121.082198456375</v>
      </c>
      <c r="S243">
        <f t="shared" si="3"/>
        <v>-1.3709120997868922</v>
      </c>
      <c r="T243">
        <v>0</v>
      </c>
      <c r="U243">
        <v>20</v>
      </c>
      <c r="V243">
        <v>4</v>
      </c>
      <c r="X243">
        <v>1.65</v>
      </c>
      <c r="Y243">
        <v>1.65</v>
      </c>
      <c r="AD243" t="s">
        <v>478</v>
      </c>
      <c r="AE243" t="s">
        <v>478</v>
      </c>
      <c r="AG243">
        <v>2103.6093000000001</v>
      </c>
      <c r="AH243">
        <v>2103.6093000000001</v>
      </c>
      <c r="AM243">
        <v>93.615649407943536</v>
      </c>
      <c r="AN243">
        <v>30.86927691107287</v>
      </c>
    </row>
    <row r="244" spans="2:40" x14ac:dyDescent="0.3">
      <c r="B244" t="s">
        <v>479</v>
      </c>
      <c r="C244" s="2">
        <v>45965</v>
      </c>
      <c r="D244" t="s">
        <v>370</v>
      </c>
      <c r="E244">
        <v>8</v>
      </c>
      <c r="F244">
        <v>1</v>
      </c>
      <c r="G244">
        <v>337</v>
      </c>
      <c r="J244">
        <v>25</v>
      </c>
      <c r="L244">
        <v>36</v>
      </c>
      <c r="M244">
        <v>9.9412731062620593E-2</v>
      </c>
      <c r="N244">
        <v>2249.6105200000002</v>
      </c>
      <c r="O244">
        <v>2194.1921983785219</v>
      </c>
      <c r="P244">
        <v>1973.36596429104</v>
      </c>
      <c r="Q244">
        <v>2117.3546768193469</v>
      </c>
      <c r="R244">
        <v>2120.454057793941</v>
      </c>
      <c r="S244">
        <f t="shared" si="3"/>
        <v>-3.0993809745941689</v>
      </c>
      <c r="T244">
        <v>2</v>
      </c>
      <c r="U244">
        <v>20</v>
      </c>
      <c r="V244">
        <v>4</v>
      </c>
      <c r="X244">
        <v>1.65</v>
      </c>
      <c r="Y244">
        <v>1.65</v>
      </c>
      <c r="AD244" t="s">
        <v>480</v>
      </c>
      <c r="AE244" t="s">
        <v>480</v>
      </c>
      <c r="AG244">
        <v>2020.9222</v>
      </c>
      <c r="AH244">
        <v>2020.9222</v>
      </c>
      <c r="AM244">
        <v>89.935875524000608</v>
      </c>
      <c r="AN244">
        <v>30.86927691107287</v>
      </c>
    </row>
    <row r="245" spans="2:40" x14ac:dyDescent="0.3">
      <c r="B245" t="s">
        <v>481</v>
      </c>
      <c r="C245" s="2">
        <v>45965</v>
      </c>
      <c r="D245" t="s">
        <v>370</v>
      </c>
      <c r="E245">
        <v>9</v>
      </c>
      <c r="F245">
        <v>1</v>
      </c>
      <c r="G245">
        <v>339</v>
      </c>
      <c r="J245">
        <v>25.2</v>
      </c>
      <c r="L245">
        <v>36</v>
      </c>
      <c r="M245">
        <v>9.9412731062620593E-2</v>
      </c>
      <c r="N245">
        <v>2249.6105200000002</v>
      </c>
      <c r="O245">
        <v>2194.1921983785219</v>
      </c>
      <c r="P245">
        <v>1878.8226485859559</v>
      </c>
      <c r="Q245">
        <v>2135.4012085443419</v>
      </c>
      <c r="R245">
        <v>2141.1719745783821</v>
      </c>
      <c r="S245">
        <f t="shared" si="3"/>
        <v>-5.7707660340402072</v>
      </c>
      <c r="T245">
        <v>5</v>
      </c>
      <c r="U245">
        <v>20</v>
      </c>
      <c r="V245">
        <v>4</v>
      </c>
      <c r="X245">
        <v>1.65</v>
      </c>
      <c r="Y245">
        <v>1.65</v>
      </c>
      <c r="AD245" t="s">
        <v>482</v>
      </c>
      <c r="AE245" t="s">
        <v>482</v>
      </c>
      <c r="AG245">
        <v>1923.9855</v>
      </c>
      <c r="AH245">
        <v>1923.9855</v>
      </c>
      <c r="AM245">
        <v>85.627077243934252</v>
      </c>
      <c r="AN245">
        <v>30.86927691107287</v>
      </c>
    </row>
    <row r="246" spans="2:40" x14ac:dyDescent="0.3">
      <c r="B246" t="s">
        <v>483</v>
      </c>
      <c r="C246" s="2">
        <v>45965</v>
      </c>
      <c r="D246" t="s">
        <v>370</v>
      </c>
      <c r="E246">
        <v>10</v>
      </c>
      <c r="F246">
        <v>1</v>
      </c>
      <c r="J246">
        <v>25.2</v>
      </c>
      <c r="K246">
        <v>167.45</v>
      </c>
      <c r="L246">
        <v>36</v>
      </c>
      <c r="M246">
        <v>9.9412731062620593E-2</v>
      </c>
      <c r="N246">
        <v>2249.6105200000002</v>
      </c>
      <c r="O246">
        <v>2194.1921983785219</v>
      </c>
      <c r="S246">
        <f t="shared" si="3"/>
        <v>0</v>
      </c>
      <c r="U246">
        <v>615</v>
      </c>
      <c r="V246">
        <v>4</v>
      </c>
      <c r="W246">
        <v>1</v>
      </c>
      <c r="X246">
        <v>4.2</v>
      </c>
      <c r="Y246">
        <v>0.15</v>
      </c>
      <c r="Z246">
        <v>634.52334452502191</v>
      </c>
      <c r="AA246">
        <v>2319.42677468292</v>
      </c>
      <c r="AB246">
        <v>2321.7849999999999</v>
      </c>
      <c r="AC246">
        <v>3.335</v>
      </c>
    </row>
    <row r="247" spans="2:40" x14ac:dyDescent="0.3">
      <c r="B247" t="s">
        <v>484</v>
      </c>
      <c r="C247" s="2">
        <v>45966</v>
      </c>
      <c r="D247" t="s">
        <v>370</v>
      </c>
      <c r="E247">
        <v>1</v>
      </c>
      <c r="F247">
        <v>1</v>
      </c>
      <c r="J247">
        <v>25.2</v>
      </c>
      <c r="K247">
        <v>166.7</v>
      </c>
      <c r="L247">
        <v>36</v>
      </c>
      <c r="M247">
        <v>9.9412731062620593E-2</v>
      </c>
      <c r="N247">
        <v>2245.0459000000001</v>
      </c>
      <c r="O247">
        <v>2189.7400261009129</v>
      </c>
      <c r="S247">
        <f t="shared" si="3"/>
        <v>0</v>
      </c>
      <c r="U247">
        <v>661</v>
      </c>
      <c r="V247">
        <v>4</v>
      </c>
      <c r="X247">
        <v>4.2</v>
      </c>
      <c r="Y247">
        <v>0.15</v>
      </c>
      <c r="Z247">
        <v>634.40402643190475</v>
      </c>
      <c r="AA247">
        <v>2315.6775508637411</v>
      </c>
    </row>
    <row r="248" spans="2:40" x14ac:dyDescent="0.3">
      <c r="B248" t="s">
        <v>485</v>
      </c>
      <c r="C248" s="2">
        <v>45966</v>
      </c>
      <c r="D248" t="s">
        <v>370</v>
      </c>
      <c r="E248">
        <v>2</v>
      </c>
      <c r="F248">
        <v>1</v>
      </c>
      <c r="G248">
        <v>346</v>
      </c>
      <c r="J248">
        <v>25.2</v>
      </c>
      <c r="K248">
        <v>166.3</v>
      </c>
      <c r="L248">
        <v>36</v>
      </c>
      <c r="M248">
        <v>9.9412731062620593E-2</v>
      </c>
      <c r="N248">
        <v>2245.0459000000001</v>
      </c>
      <c r="O248">
        <v>2189.7400261009129</v>
      </c>
      <c r="P248">
        <v>1634.056792784681</v>
      </c>
      <c r="Q248">
        <v>1711.2370372453661</v>
      </c>
      <c r="R248">
        <v>1712.8498552735689</v>
      </c>
      <c r="S248">
        <f t="shared" si="3"/>
        <v>-1.6128180282028097</v>
      </c>
      <c r="T248">
        <v>0</v>
      </c>
      <c r="U248">
        <v>626</v>
      </c>
      <c r="V248">
        <v>4</v>
      </c>
      <c r="W248">
        <v>1</v>
      </c>
      <c r="X248">
        <v>4.2</v>
      </c>
      <c r="Y248">
        <v>0.15</v>
      </c>
      <c r="Z248">
        <v>634.34719211056915</v>
      </c>
      <c r="AA248">
        <v>2316.9029994137618</v>
      </c>
      <c r="AB248">
        <v>2319.172</v>
      </c>
      <c r="AC248">
        <v>1.6539999999999999</v>
      </c>
      <c r="AD248" t="s">
        <v>486</v>
      </c>
      <c r="AE248" t="s">
        <v>486</v>
      </c>
      <c r="AG248">
        <v>1673.336</v>
      </c>
      <c r="AH248">
        <v>1673.336</v>
      </c>
      <c r="AM248">
        <v>74.623323924635443</v>
      </c>
      <c r="AN248">
        <v>0.65487824237890646</v>
      </c>
    </row>
    <row r="249" spans="2:40" x14ac:dyDescent="0.3">
      <c r="B249" t="s">
        <v>487</v>
      </c>
      <c r="C249" s="2">
        <v>45966</v>
      </c>
      <c r="D249" t="s">
        <v>370</v>
      </c>
      <c r="E249">
        <v>3</v>
      </c>
      <c r="F249">
        <v>1</v>
      </c>
      <c r="G249">
        <v>348</v>
      </c>
      <c r="J249">
        <v>25.2</v>
      </c>
      <c r="K249">
        <v>166.2</v>
      </c>
      <c r="L249">
        <v>36</v>
      </c>
      <c r="M249">
        <v>9.9412731062620593E-2</v>
      </c>
      <c r="N249">
        <v>2245.0459000000001</v>
      </c>
      <c r="O249">
        <v>2189.7400261009129</v>
      </c>
      <c r="P249">
        <v>1646.405652777245</v>
      </c>
      <c r="Q249">
        <v>1724.174326100534</v>
      </c>
      <c r="R249">
        <v>1725.7994403929499</v>
      </c>
      <c r="S249">
        <f t="shared" si="3"/>
        <v>-1.6251142924159012</v>
      </c>
      <c r="T249">
        <v>0</v>
      </c>
      <c r="U249">
        <v>638</v>
      </c>
      <c r="V249">
        <v>4</v>
      </c>
      <c r="W249">
        <v>1</v>
      </c>
      <c r="X249">
        <v>4.2</v>
      </c>
      <c r="Y249">
        <v>0.15</v>
      </c>
      <c r="Z249">
        <v>634.32643229624045</v>
      </c>
      <c r="AA249">
        <v>2317.6556949509718</v>
      </c>
      <c r="AB249">
        <v>2319.172</v>
      </c>
      <c r="AC249">
        <v>1.6539999999999999</v>
      </c>
      <c r="AD249" t="s">
        <v>488</v>
      </c>
      <c r="AE249" t="s">
        <v>488</v>
      </c>
      <c r="AG249">
        <v>1685.9817</v>
      </c>
      <c r="AH249">
        <v>1685.9817</v>
      </c>
      <c r="AM249">
        <v>75.187265755417641</v>
      </c>
      <c r="AN249">
        <v>0.65487824237890646</v>
      </c>
    </row>
    <row r="250" spans="2:40" x14ac:dyDescent="0.3">
      <c r="B250" t="s">
        <v>489</v>
      </c>
      <c r="C250" s="2">
        <v>45966</v>
      </c>
      <c r="D250" t="s">
        <v>370</v>
      </c>
      <c r="E250">
        <v>4</v>
      </c>
      <c r="F250">
        <v>1</v>
      </c>
      <c r="G250">
        <v>350</v>
      </c>
      <c r="J250">
        <v>25.2</v>
      </c>
      <c r="K250">
        <v>165.95</v>
      </c>
      <c r="L250">
        <v>36</v>
      </c>
      <c r="M250">
        <v>9.9412731062620593E-2</v>
      </c>
      <c r="N250">
        <v>2245.0459000000001</v>
      </c>
      <c r="O250">
        <v>2189.7400261009129</v>
      </c>
      <c r="P250">
        <v>937.50265460300716</v>
      </c>
      <c r="Q250">
        <v>1861.0396868001801</v>
      </c>
      <c r="R250">
        <v>1887.356236004797</v>
      </c>
      <c r="S250">
        <f t="shared" si="3"/>
        <v>-26.316549204616877</v>
      </c>
      <c r="T250">
        <v>22</v>
      </c>
      <c r="V250">
        <v>4</v>
      </c>
      <c r="W250">
        <v>1</v>
      </c>
      <c r="X250">
        <v>4.2</v>
      </c>
      <c r="Y250">
        <v>0.15</v>
      </c>
      <c r="Z250">
        <v>634.37838177645267</v>
      </c>
      <c r="AA250">
        <v>2319.8140031536882</v>
      </c>
      <c r="AB250">
        <v>2319.172</v>
      </c>
      <c r="AC250">
        <v>1.6539999999999999</v>
      </c>
      <c r="AD250" t="s">
        <v>490</v>
      </c>
      <c r="AE250" t="s">
        <v>490</v>
      </c>
      <c r="AG250">
        <v>960.03819999999996</v>
      </c>
      <c r="AH250">
        <v>960.03819999999996</v>
      </c>
      <c r="AM250">
        <v>42.81342275467923</v>
      </c>
      <c r="AN250">
        <v>0.65487824237890646</v>
      </c>
    </row>
    <row r="251" spans="2:40" x14ac:dyDescent="0.3">
      <c r="B251" t="s">
        <v>491</v>
      </c>
      <c r="C251" s="2">
        <v>45966</v>
      </c>
      <c r="D251" t="s">
        <v>370</v>
      </c>
      <c r="E251">
        <v>5</v>
      </c>
      <c r="F251">
        <v>1</v>
      </c>
      <c r="G251">
        <v>351</v>
      </c>
      <c r="J251">
        <v>25.2</v>
      </c>
      <c r="K251">
        <v>165.8</v>
      </c>
      <c r="L251">
        <v>36</v>
      </c>
      <c r="M251">
        <v>9.9412731062620593E-2</v>
      </c>
      <c r="N251">
        <v>2245.0459000000001</v>
      </c>
      <c r="O251">
        <v>2189.7400261009129</v>
      </c>
      <c r="P251">
        <v>1203.7350021593099</v>
      </c>
      <c r="Q251">
        <v>1736.182162228429</v>
      </c>
      <c r="R251">
        <v>1749.231267952433</v>
      </c>
      <c r="S251">
        <f t="shared" si="3"/>
        <v>-13.049105724003994</v>
      </c>
      <c r="T251">
        <v>11</v>
      </c>
      <c r="V251">
        <v>4</v>
      </c>
      <c r="W251">
        <v>1</v>
      </c>
      <c r="X251">
        <v>4.2</v>
      </c>
      <c r="Y251">
        <v>0.15</v>
      </c>
      <c r="Z251">
        <v>634.28798769804234</v>
      </c>
      <c r="AA251">
        <v>2320.3103675680181</v>
      </c>
      <c r="AB251">
        <v>2319.172</v>
      </c>
      <c r="AC251">
        <v>1.6539999999999999</v>
      </c>
      <c r="AD251" t="s">
        <v>492</v>
      </c>
      <c r="AE251" t="s">
        <v>492</v>
      </c>
      <c r="AG251">
        <v>1232.6702</v>
      </c>
      <c r="AH251">
        <v>1232.6702</v>
      </c>
      <c r="AM251">
        <v>54.971594244577993</v>
      </c>
      <c r="AN251">
        <v>0.65487824237890646</v>
      </c>
    </row>
    <row r="252" spans="2:40" x14ac:dyDescent="0.3">
      <c r="B252" t="s">
        <v>493</v>
      </c>
      <c r="C252" s="2">
        <v>45966</v>
      </c>
      <c r="D252" t="s">
        <v>370</v>
      </c>
      <c r="E252">
        <v>6</v>
      </c>
      <c r="F252">
        <v>1</v>
      </c>
      <c r="G252">
        <v>353</v>
      </c>
      <c r="J252">
        <v>25.2</v>
      </c>
      <c r="K252">
        <v>165.55</v>
      </c>
      <c r="L252">
        <v>36</v>
      </c>
      <c r="M252">
        <v>9.9412731062620593E-2</v>
      </c>
      <c r="N252">
        <v>2245.0459000000001</v>
      </c>
      <c r="O252">
        <v>2189.7400261009129</v>
      </c>
      <c r="P252">
        <v>1426.9786065476851</v>
      </c>
      <c r="Q252">
        <v>1745.5302759119991</v>
      </c>
      <c r="R252">
        <v>1752.729639891505</v>
      </c>
      <c r="S252">
        <f t="shared" si="3"/>
        <v>-7.1993639795059607</v>
      </c>
      <c r="T252">
        <v>5.3333300000000001</v>
      </c>
      <c r="U252">
        <v>620</v>
      </c>
      <c r="V252">
        <v>4</v>
      </c>
      <c r="W252">
        <v>1</v>
      </c>
      <c r="X252">
        <v>4.2</v>
      </c>
      <c r="Y252">
        <v>0.15</v>
      </c>
      <c r="Z252">
        <v>634.27339882913373</v>
      </c>
      <c r="AA252">
        <v>2319.0559214760592</v>
      </c>
      <c r="AB252">
        <v>2319.172</v>
      </c>
      <c r="AC252">
        <v>1.6539999999999999</v>
      </c>
      <c r="AD252" t="s">
        <v>494</v>
      </c>
      <c r="AE252" t="s">
        <v>494</v>
      </c>
      <c r="AG252">
        <v>1461.2800999999999</v>
      </c>
      <c r="AH252">
        <v>1461.2800999999999</v>
      </c>
      <c r="AM252">
        <v>65.166576376127466</v>
      </c>
      <c r="AN252">
        <v>0.65487824237890646</v>
      </c>
    </row>
    <row r="253" spans="2:40" x14ac:dyDescent="0.3">
      <c r="B253" t="s">
        <v>495</v>
      </c>
      <c r="C253" s="2">
        <v>45966</v>
      </c>
      <c r="D253" t="s">
        <v>370</v>
      </c>
      <c r="E253">
        <v>7</v>
      </c>
      <c r="F253">
        <v>1</v>
      </c>
      <c r="G253">
        <v>354</v>
      </c>
      <c r="J253">
        <v>25.2</v>
      </c>
      <c r="K253">
        <v>165.1</v>
      </c>
      <c r="L253">
        <v>36</v>
      </c>
      <c r="M253">
        <v>9.9412731062620593E-2</v>
      </c>
      <c r="N253">
        <v>2245.0459000000001</v>
      </c>
      <c r="O253">
        <v>2189.7400261009129</v>
      </c>
      <c r="P253">
        <v>1594.921422821136</v>
      </c>
      <c r="Q253">
        <v>1770.5230988410381</v>
      </c>
      <c r="R253">
        <v>1774.302954110289</v>
      </c>
      <c r="S253">
        <f t="shared" si="3"/>
        <v>-3.779855269250902</v>
      </c>
      <c r="T253">
        <v>2</v>
      </c>
      <c r="V253">
        <v>4</v>
      </c>
      <c r="W253">
        <v>1</v>
      </c>
      <c r="X253">
        <v>4.2</v>
      </c>
      <c r="Y253">
        <v>0.15</v>
      </c>
      <c r="Z253">
        <v>634.23075041679715</v>
      </c>
      <c r="AA253">
        <v>2321.2948283702999</v>
      </c>
      <c r="AB253">
        <v>2319.172</v>
      </c>
      <c r="AC253">
        <v>1.6539999999999999</v>
      </c>
      <c r="AD253" t="s">
        <v>496</v>
      </c>
      <c r="AE253" t="s">
        <v>496</v>
      </c>
      <c r="AG253">
        <v>1633.2599</v>
      </c>
      <c r="AH253">
        <v>1633.2599</v>
      </c>
      <c r="AM253">
        <v>72.836108570435158</v>
      </c>
      <c r="AN253">
        <v>0.65487824237890646</v>
      </c>
    </row>
    <row r="254" spans="2:40" x14ac:dyDescent="0.3">
      <c r="B254" t="s">
        <v>497</v>
      </c>
      <c r="C254" s="2">
        <v>45968</v>
      </c>
      <c r="D254" t="s">
        <v>498</v>
      </c>
      <c r="E254">
        <v>1</v>
      </c>
      <c r="F254">
        <v>1</v>
      </c>
      <c r="G254">
        <v>358</v>
      </c>
      <c r="J254">
        <v>25.2</v>
      </c>
      <c r="K254">
        <v>172.45</v>
      </c>
      <c r="L254">
        <v>34</v>
      </c>
      <c r="M254">
        <v>9.9412731062620593E-2</v>
      </c>
      <c r="N254">
        <v>2273.1214</v>
      </c>
      <c r="O254">
        <v>2220.4215464318459</v>
      </c>
      <c r="P254">
        <v>1664.720528456932</v>
      </c>
      <c r="Q254">
        <v>1743.3480425825551</v>
      </c>
      <c r="R254">
        <v>1744.991103876034</v>
      </c>
      <c r="S254">
        <f t="shared" si="3"/>
        <v>-1.6430612934789224</v>
      </c>
      <c r="T254">
        <v>0</v>
      </c>
      <c r="U254">
        <v>602</v>
      </c>
      <c r="V254">
        <v>4</v>
      </c>
      <c r="X254">
        <v>4.2</v>
      </c>
      <c r="Y254">
        <v>0.15</v>
      </c>
      <c r="Z254">
        <v>635.28901360302007</v>
      </c>
      <c r="AA254">
        <v>2319.455258261773</v>
      </c>
      <c r="AD254" t="s">
        <v>499</v>
      </c>
      <c r="AE254" t="s">
        <v>499</v>
      </c>
      <c r="AG254">
        <v>1702.2213999999999</v>
      </c>
      <c r="AH254">
        <v>1702.2213999999999</v>
      </c>
      <c r="AM254">
        <v>74.973174851959541</v>
      </c>
      <c r="AN254">
        <v>0.65893971866665257</v>
      </c>
    </row>
    <row r="255" spans="2:40" x14ac:dyDescent="0.3">
      <c r="B255" t="s">
        <v>500</v>
      </c>
      <c r="C255" s="2">
        <v>45968</v>
      </c>
      <c r="D255" t="s">
        <v>498</v>
      </c>
      <c r="E255">
        <v>2</v>
      </c>
      <c r="F255">
        <v>1</v>
      </c>
      <c r="G255">
        <v>359</v>
      </c>
      <c r="J255">
        <v>25.2</v>
      </c>
      <c r="K255">
        <v>171.5</v>
      </c>
      <c r="L255">
        <v>34</v>
      </c>
      <c r="M255">
        <v>9.9412731062620593E-2</v>
      </c>
      <c r="N255">
        <v>2273.1214</v>
      </c>
      <c r="O255">
        <v>2220.4215464318459</v>
      </c>
      <c r="P255">
        <v>1651.5168650987171</v>
      </c>
      <c r="Q255">
        <v>1729.5152185879119</v>
      </c>
      <c r="R255">
        <v>1731.1451324545569</v>
      </c>
      <c r="S255">
        <f t="shared" si="3"/>
        <v>-1.6299138666449835</v>
      </c>
      <c r="T255">
        <v>0</v>
      </c>
      <c r="U255">
        <v>603</v>
      </c>
      <c r="V255">
        <v>4</v>
      </c>
      <c r="W255">
        <v>1</v>
      </c>
      <c r="X255">
        <v>4.2</v>
      </c>
      <c r="Y255">
        <v>0.15</v>
      </c>
      <c r="Z255">
        <v>636.94239873911908</v>
      </c>
      <c r="AA255">
        <v>2321.814136643638</v>
      </c>
      <c r="AB255">
        <v>2319.1869999999999</v>
      </c>
      <c r="AC255">
        <v>2.532</v>
      </c>
      <c r="AD255" t="s">
        <v>501</v>
      </c>
      <c r="AE255" t="s">
        <v>501</v>
      </c>
      <c r="AG255">
        <v>1688.7203</v>
      </c>
      <c r="AH255">
        <v>1688.7203</v>
      </c>
      <c r="AM255">
        <v>74.378528156180863</v>
      </c>
      <c r="AN255">
        <v>0.65893971866665257</v>
      </c>
    </row>
    <row r="256" spans="2:40" x14ac:dyDescent="0.3">
      <c r="B256" t="s">
        <v>502</v>
      </c>
      <c r="C256" s="2">
        <v>45968</v>
      </c>
      <c r="D256" t="s">
        <v>498</v>
      </c>
      <c r="E256">
        <v>3</v>
      </c>
      <c r="F256">
        <v>1</v>
      </c>
      <c r="G256">
        <v>360</v>
      </c>
      <c r="J256">
        <v>25.2</v>
      </c>
      <c r="K256">
        <v>172.35</v>
      </c>
      <c r="L256">
        <v>34</v>
      </c>
      <c r="M256">
        <v>9.9412731062620593E-2</v>
      </c>
      <c r="N256">
        <v>2273.1214</v>
      </c>
      <c r="O256">
        <v>2220.4215464318459</v>
      </c>
      <c r="P256">
        <v>1086.0597204386811</v>
      </c>
      <c r="Q256">
        <v>1708.716264853753</v>
      </c>
      <c r="R256">
        <v>1724.6302417463969</v>
      </c>
      <c r="S256">
        <f t="shared" si="3"/>
        <v>-15.913976892643859</v>
      </c>
      <c r="T256">
        <v>14</v>
      </c>
      <c r="V256">
        <v>4</v>
      </c>
      <c r="W256">
        <v>1</v>
      </c>
      <c r="X256">
        <v>4.2</v>
      </c>
      <c r="Y256">
        <v>0.15</v>
      </c>
      <c r="Z256">
        <v>635.27805032762205</v>
      </c>
      <c r="AA256">
        <v>2315.726747033244</v>
      </c>
      <c r="AB256">
        <v>2319.1869999999999</v>
      </c>
      <c r="AC256">
        <v>2.532</v>
      </c>
      <c r="AD256" t="s">
        <v>503</v>
      </c>
      <c r="AE256" t="s">
        <v>503</v>
      </c>
      <c r="AG256">
        <v>1110.5252</v>
      </c>
      <c r="AH256">
        <v>1110.5252</v>
      </c>
      <c r="AM256">
        <v>48.912321274487176</v>
      </c>
      <c r="AN256">
        <v>0.65893971866665257</v>
      </c>
    </row>
    <row r="257" spans="2:40" x14ac:dyDescent="0.3">
      <c r="B257" t="s">
        <v>504</v>
      </c>
      <c r="C257" s="2">
        <v>45968</v>
      </c>
      <c r="D257" t="s">
        <v>498</v>
      </c>
      <c r="E257">
        <v>4</v>
      </c>
      <c r="F257">
        <v>1</v>
      </c>
      <c r="G257">
        <v>361</v>
      </c>
      <c r="J257">
        <v>25.2</v>
      </c>
      <c r="K257">
        <v>172.15</v>
      </c>
      <c r="L257">
        <v>34</v>
      </c>
      <c r="M257">
        <v>9.9412731062620593E-2</v>
      </c>
      <c r="N257">
        <v>2273.1214</v>
      </c>
      <c r="O257">
        <v>2220.4215464318459</v>
      </c>
      <c r="P257">
        <v>1661.2633086498331</v>
      </c>
      <c r="Q257">
        <v>1739.7260846603519</v>
      </c>
      <c r="R257">
        <v>1741.365703458878</v>
      </c>
      <c r="S257">
        <f t="shared" si="3"/>
        <v>-1.639618798526044</v>
      </c>
      <c r="T257">
        <v>0</v>
      </c>
      <c r="U257">
        <v>609</v>
      </c>
      <c r="V257">
        <v>4</v>
      </c>
      <c r="W257">
        <v>1</v>
      </c>
      <c r="X257">
        <v>4.2</v>
      </c>
      <c r="Y257">
        <v>0.15</v>
      </c>
      <c r="Z257">
        <v>635.32090462417091</v>
      </c>
      <c r="AA257">
        <v>2319.5485556142862</v>
      </c>
      <c r="AB257">
        <v>2319.1869999999999</v>
      </c>
      <c r="AC257">
        <v>2.532</v>
      </c>
      <c r="AD257" t="s">
        <v>505</v>
      </c>
      <c r="AE257" t="s">
        <v>505</v>
      </c>
      <c r="AG257">
        <v>1698.6863000000001</v>
      </c>
      <c r="AH257">
        <v>1698.6863000000001</v>
      </c>
      <c r="AM257">
        <v>74.817473795434751</v>
      </c>
      <c r="AN257">
        <v>0.65893971866665257</v>
      </c>
    </row>
    <row r="258" spans="2:40" x14ac:dyDescent="0.3">
      <c r="B258" t="s">
        <v>506</v>
      </c>
      <c r="C258" s="2">
        <v>45968</v>
      </c>
      <c r="D258" t="s">
        <v>498</v>
      </c>
      <c r="E258">
        <v>5</v>
      </c>
      <c r="F258">
        <v>1</v>
      </c>
      <c r="G258">
        <v>362</v>
      </c>
      <c r="J258">
        <v>25.2</v>
      </c>
      <c r="K258">
        <v>173.15</v>
      </c>
      <c r="L258">
        <v>34</v>
      </c>
      <c r="M258">
        <v>9.9412731062620593E-2</v>
      </c>
      <c r="N258">
        <v>2273.1214</v>
      </c>
      <c r="O258">
        <v>2220.4215464318459</v>
      </c>
      <c r="P258">
        <v>1654.5339986527561</v>
      </c>
      <c r="Q258">
        <v>1783.936474410365</v>
      </c>
      <c r="R258">
        <v>1786.6810240009399</v>
      </c>
      <c r="S258">
        <f t="shared" si="3"/>
        <v>-2.744549590574934</v>
      </c>
      <c r="T258">
        <v>1</v>
      </c>
      <c r="U258">
        <v>611</v>
      </c>
      <c r="V258">
        <v>4</v>
      </c>
      <c r="W258">
        <v>1</v>
      </c>
      <c r="X258">
        <v>4.2</v>
      </c>
      <c r="Y258">
        <v>0.15</v>
      </c>
      <c r="Z258">
        <v>636.58397550195912</v>
      </c>
      <c r="AA258">
        <v>2319.6602836450629</v>
      </c>
      <c r="AB258">
        <v>2319.1869999999999</v>
      </c>
      <c r="AC258">
        <v>2.532</v>
      </c>
      <c r="AD258" t="s">
        <v>507</v>
      </c>
      <c r="AE258" t="s">
        <v>507</v>
      </c>
      <c r="AG258">
        <v>1691.8054</v>
      </c>
      <c r="AH258">
        <v>1691.8054</v>
      </c>
      <c r="AM258">
        <v>74.51440927113795</v>
      </c>
      <c r="AN258">
        <v>0.65893971866665257</v>
      </c>
    </row>
    <row r="259" spans="2:40" x14ac:dyDescent="0.3">
      <c r="B259" t="s">
        <v>508</v>
      </c>
      <c r="C259" s="2">
        <v>45968</v>
      </c>
      <c r="D259" t="s">
        <v>498</v>
      </c>
      <c r="E259">
        <v>6</v>
      </c>
      <c r="F259">
        <v>1</v>
      </c>
      <c r="G259">
        <v>363</v>
      </c>
      <c r="H259" t="s">
        <v>509</v>
      </c>
      <c r="J259">
        <v>25.2</v>
      </c>
      <c r="L259">
        <v>34</v>
      </c>
      <c r="M259">
        <v>9.9412731062620593E-2</v>
      </c>
      <c r="N259">
        <v>2273.1214</v>
      </c>
      <c r="O259">
        <v>2220.4215464318459</v>
      </c>
      <c r="P259">
        <v>1859.404418131717</v>
      </c>
      <c r="Q259">
        <v>1947.304629626396</v>
      </c>
      <c r="R259">
        <v>1949.1414603694459</v>
      </c>
      <c r="S259">
        <f t="shared" ref="S259:S322" si="4">Q259-R259</f>
        <v>-1.8368307430498589</v>
      </c>
      <c r="T259">
        <v>0</v>
      </c>
      <c r="U259">
        <v>394</v>
      </c>
      <c r="V259">
        <v>4</v>
      </c>
      <c r="X259">
        <v>2.5499999999999998</v>
      </c>
      <c r="Y259">
        <v>0.15</v>
      </c>
      <c r="Z259">
        <v>611.88814369639329</v>
      </c>
      <c r="AA259">
        <v>2144.6560481739052</v>
      </c>
      <c r="AD259" t="s">
        <v>510</v>
      </c>
      <c r="AE259" t="s">
        <v>510</v>
      </c>
      <c r="AG259">
        <v>1901.2909</v>
      </c>
      <c r="AH259">
        <v>1901.2909</v>
      </c>
      <c r="AM259">
        <v>83.741054536231047</v>
      </c>
      <c r="AN259">
        <v>0.66279550790631792</v>
      </c>
    </row>
    <row r="260" spans="2:40" x14ac:dyDescent="0.3">
      <c r="B260" t="s">
        <v>511</v>
      </c>
      <c r="C260" s="2">
        <v>45968</v>
      </c>
      <c r="D260" t="s">
        <v>498</v>
      </c>
      <c r="E260">
        <v>7</v>
      </c>
      <c r="F260">
        <v>1</v>
      </c>
      <c r="G260">
        <v>364</v>
      </c>
      <c r="J260">
        <v>25.2</v>
      </c>
      <c r="L260">
        <v>34</v>
      </c>
      <c r="M260">
        <v>9.9412731062620593E-2</v>
      </c>
      <c r="N260">
        <v>2273.1214</v>
      </c>
      <c r="O260">
        <v>2220.4215464318459</v>
      </c>
      <c r="P260">
        <v>1836.790145931943</v>
      </c>
      <c r="Q260">
        <v>1932.9910369035381</v>
      </c>
      <c r="R260">
        <v>1935.0063165627321</v>
      </c>
      <c r="S260">
        <f t="shared" si="4"/>
        <v>-2.0152796591939932</v>
      </c>
      <c r="T260">
        <v>0.16666</v>
      </c>
      <c r="V260">
        <v>4</v>
      </c>
      <c r="X260">
        <v>2.7</v>
      </c>
      <c r="Y260">
        <v>0.15</v>
      </c>
      <c r="Z260">
        <v>636.14909139937049</v>
      </c>
      <c r="AA260">
        <v>2323.0006935140732</v>
      </c>
      <c r="AD260" t="s">
        <v>512</v>
      </c>
      <c r="AE260" t="s">
        <v>512</v>
      </c>
      <c r="AG260">
        <v>1878.1672000000001</v>
      </c>
      <c r="AH260">
        <v>1878.1672000000001</v>
      </c>
      <c r="AM260">
        <v>82.722587018830382</v>
      </c>
      <c r="AN260">
        <v>0.6610108600162774</v>
      </c>
    </row>
    <row r="261" spans="2:40" x14ac:dyDescent="0.3">
      <c r="B261" t="s">
        <v>513</v>
      </c>
      <c r="C261" s="2">
        <v>45968</v>
      </c>
      <c r="D261" t="s">
        <v>498</v>
      </c>
      <c r="E261">
        <v>8</v>
      </c>
      <c r="F261">
        <v>1</v>
      </c>
      <c r="G261">
        <v>366</v>
      </c>
      <c r="J261">
        <v>25.2</v>
      </c>
      <c r="L261">
        <v>34</v>
      </c>
      <c r="M261">
        <v>9.9412731062620593E-2</v>
      </c>
      <c r="N261">
        <v>2273.1214</v>
      </c>
      <c r="O261">
        <v>2220.4215464318459</v>
      </c>
      <c r="P261">
        <v>1036.226504674888</v>
      </c>
      <c r="Q261">
        <v>1831.465713187971</v>
      </c>
      <c r="R261">
        <v>1852.938885730028</v>
      </c>
      <c r="S261">
        <f t="shared" si="4"/>
        <v>-21.473172542057</v>
      </c>
      <c r="T261">
        <v>18</v>
      </c>
      <c r="U261">
        <v>417</v>
      </c>
      <c r="V261">
        <v>4</v>
      </c>
      <c r="X261">
        <v>2.7</v>
      </c>
      <c r="Y261">
        <v>0.15</v>
      </c>
      <c r="Z261">
        <v>635.86626728815577</v>
      </c>
      <c r="AA261">
        <v>2320.8152160339769</v>
      </c>
      <c r="AD261" t="s">
        <v>514</v>
      </c>
      <c r="AE261" t="s">
        <v>514</v>
      </c>
      <c r="AG261">
        <v>1059.5694000000001</v>
      </c>
      <c r="AH261">
        <v>1059.5694000000001</v>
      </c>
      <c r="AM261">
        <v>46.668007988846732</v>
      </c>
      <c r="AN261">
        <v>0.6610108600162774</v>
      </c>
    </row>
    <row r="262" spans="2:40" x14ac:dyDescent="0.3">
      <c r="B262" t="s">
        <v>515</v>
      </c>
      <c r="C262" s="2">
        <v>45968</v>
      </c>
      <c r="D262" t="s">
        <v>498</v>
      </c>
      <c r="E262">
        <v>9</v>
      </c>
      <c r="F262">
        <v>1</v>
      </c>
      <c r="G262">
        <v>368</v>
      </c>
      <c r="J262">
        <v>25.2</v>
      </c>
      <c r="L262">
        <v>34</v>
      </c>
      <c r="M262">
        <v>9.9412731062620593E-2</v>
      </c>
      <c r="N262">
        <v>2273.1214</v>
      </c>
      <c r="O262">
        <v>2220.4215464318459</v>
      </c>
      <c r="P262">
        <v>1846.472336890113</v>
      </c>
      <c r="Q262">
        <v>1933.758216992019</v>
      </c>
      <c r="R262">
        <v>1935.5822101915701</v>
      </c>
      <c r="S262">
        <f t="shared" si="4"/>
        <v>-1.8239931995510688</v>
      </c>
      <c r="T262">
        <v>0</v>
      </c>
      <c r="U262">
        <v>421</v>
      </c>
      <c r="V262">
        <v>4</v>
      </c>
      <c r="X262">
        <v>2.7</v>
      </c>
      <c r="Y262">
        <v>0.15</v>
      </c>
      <c r="Z262">
        <v>635.6817066993566</v>
      </c>
      <c r="AA262">
        <v>2325.1669056197288</v>
      </c>
      <c r="AD262" t="s">
        <v>516</v>
      </c>
      <c r="AE262" t="s">
        <v>516</v>
      </c>
      <c r="AG262">
        <v>1888.0675000000001</v>
      </c>
      <c r="AH262">
        <v>1888.0675000000001</v>
      </c>
      <c r="AM262">
        <v>83.158638946615412</v>
      </c>
      <c r="AN262">
        <v>0.6610108600162774</v>
      </c>
    </row>
    <row r="263" spans="2:40" x14ac:dyDescent="0.3">
      <c r="B263" t="s">
        <v>517</v>
      </c>
      <c r="C263" s="2">
        <v>45968</v>
      </c>
      <c r="D263" t="s">
        <v>498</v>
      </c>
      <c r="E263">
        <v>10</v>
      </c>
      <c r="F263">
        <v>1</v>
      </c>
      <c r="G263">
        <v>369</v>
      </c>
      <c r="J263">
        <v>25.2</v>
      </c>
      <c r="L263">
        <v>34</v>
      </c>
      <c r="M263">
        <v>9.9412731062620593E-2</v>
      </c>
      <c r="N263">
        <v>2273.1214</v>
      </c>
      <c r="O263">
        <v>2220.4215464318459</v>
      </c>
      <c r="P263">
        <v>745.79881894146479</v>
      </c>
      <c r="Q263">
        <v>1708.876557123416</v>
      </c>
      <c r="R263">
        <v>1738.1834526352279</v>
      </c>
      <c r="S263">
        <f t="shared" si="4"/>
        <v>-29.306895511811945</v>
      </c>
      <c r="T263">
        <v>27</v>
      </c>
      <c r="V263">
        <v>4</v>
      </c>
      <c r="X263">
        <v>4.2</v>
      </c>
      <c r="Y263">
        <v>0.15</v>
      </c>
      <c r="Z263">
        <v>635.42845910705921</v>
      </c>
      <c r="AA263">
        <v>2321.7962325447702</v>
      </c>
      <c r="AD263" t="s">
        <v>518</v>
      </c>
      <c r="AE263" t="s">
        <v>518</v>
      </c>
      <c r="AG263">
        <v>762.59929999999997</v>
      </c>
      <c r="AH263">
        <v>762.59929999999997</v>
      </c>
      <c r="AM263">
        <v>33.588163479134963</v>
      </c>
      <c r="AN263">
        <v>0.65893971866665257</v>
      </c>
    </row>
    <row r="264" spans="2:40" x14ac:dyDescent="0.3">
      <c r="B264" t="s">
        <v>519</v>
      </c>
      <c r="C264" s="2">
        <v>45971</v>
      </c>
      <c r="D264" t="s">
        <v>498</v>
      </c>
      <c r="E264">
        <v>1</v>
      </c>
      <c r="H264" t="s">
        <v>520</v>
      </c>
      <c r="J264">
        <v>25.2</v>
      </c>
      <c r="K264">
        <v>171.8</v>
      </c>
      <c r="L264">
        <v>34</v>
      </c>
      <c r="M264">
        <v>9.9412731062620593E-2</v>
      </c>
      <c r="S264">
        <f t="shared" si="4"/>
        <v>0</v>
      </c>
      <c r="V264">
        <v>4</v>
      </c>
      <c r="W264">
        <v>1</v>
      </c>
      <c r="X264">
        <v>4.2</v>
      </c>
      <c r="Y264">
        <v>0.15</v>
      </c>
      <c r="Z264">
        <v>634.81118444226797</v>
      </c>
      <c r="AA264">
        <v>2303.6822657051571</v>
      </c>
      <c r="AB264">
        <v>2307.0610000000001</v>
      </c>
      <c r="AC264">
        <v>1.98</v>
      </c>
    </row>
    <row r="265" spans="2:40" x14ac:dyDescent="0.3">
      <c r="B265" t="s">
        <v>521</v>
      </c>
      <c r="C265" s="2">
        <v>45971</v>
      </c>
      <c r="D265" t="s">
        <v>498</v>
      </c>
      <c r="E265">
        <v>2</v>
      </c>
      <c r="H265" t="s">
        <v>520</v>
      </c>
      <c r="J265">
        <v>25.2</v>
      </c>
      <c r="K265">
        <v>171.3</v>
      </c>
      <c r="L265">
        <v>34</v>
      </c>
      <c r="M265">
        <v>9.9412731062620593E-2</v>
      </c>
      <c r="S265">
        <f t="shared" si="4"/>
        <v>0</v>
      </c>
      <c r="V265">
        <v>4</v>
      </c>
      <c r="W265">
        <v>1</v>
      </c>
      <c r="X265">
        <v>4.2</v>
      </c>
      <c r="Y265">
        <v>0.15</v>
      </c>
      <c r="Z265">
        <v>634.89079513869422</v>
      </c>
      <c r="AA265">
        <v>2306.4987101395341</v>
      </c>
      <c r="AB265">
        <v>2307.0610000000001</v>
      </c>
      <c r="AC265">
        <v>1.98</v>
      </c>
    </row>
    <row r="266" spans="2:40" x14ac:dyDescent="0.3">
      <c r="B266" t="s">
        <v>522</v>
      </c>
      <c r="C266" s="2">
        <v>45971</v>
      </c>
      <c r="D266" t="s">
        <v>498</v>
      </c>
      <c r="E266">
        <v>3</v>
      </c>
      <c r="H266" t="s">
        <v>520</v>
      </c>
      <c r="J266">
        <v>25.2</v>
      </c>
      <c r="K266">
        <v>171.1</v>
      </c>
      <c r="L266">
        <v>34</v>
      </c>
      <c r="M266">
        <v>9.9412731062620593E-2</v>
      </c>
      <c r="S266">
        <f t="shared" si="4"/>
        <v>0</v>
      </c>
      <c r="V266">
        <v>4</v>
      </c>
      <c r="W266">
        <v>1</v>
      </c>
      <c r="X266">
        <v>4.2</v>
      </c>
      <c r="Y266">
        <v>0.15</v>
      </c>
      <c r="Z266">
        <v>634.80286599940007</v>
      </c>
      <c r="AA266">
        <v>2307.0885825559581</v>
      </c>
      <c r="AB266">
        <v>2307.0610000000001</v>
      </c>
      <c r="AC266">
        <v>1.98</v>
      </c>
    </row>
    <row r="267" spans="2:40" x14ac:dyDescent="0.3">
      <c r="B267" t="s">
        <v>523</v>
      </c>
      <c r="C267" s="2">
        <v>45971</v>
      </c>
      <c r="D267" t="s">
        <v>498</v>
      </c>
      <c r="E267">
        <v>4</v>
      </c>
      <c r="H267" t="s">
        <v>520</v>
      </c>
      <c r="J267">
        <v>25.2</v>
      </c>
      <c r="K267">
        <v>171.1</v>
      </c>
      <c r="L267">
        <v>34</v>
      </c>
      <c r="M267">
        <v>9.9412731062620593E-2</v>
      </c>
      <c r="S267">
        <f t="shared" si="4"/>
        <v>0</v>
      </c>
      <c r="V267">
        <v>4</v>
      </c>
      <c r="W267">
        <v>1</v>
      </c>
      <c r="X267">
        <v>4.2</v>
      </c>
      <c r="Y267">
        <v>0.15</v>
      </c>
      <c r="Z267">
        <v>634.90545861746659</v>
      </c>
      <c r="AA267">
        <v>2306.7097181310119</v>
      </c>
      <c r="AB267">
        <v>2307.0610000000001</v>
      </c>
      <c r="AC267">
        <v>1.98</v>
      </c>
    </row>
    <row r="268" spans="2:40" x14ac:dyDescent="0.3">
      <c r="B268" t="s">
        <v>524</v>
      </c>
      <c r="C268" s="2">
        <v>45971</v>
      </c>
      <c r="D268" t="s">
        <v>498</v>
      </c>
      <c r="E268">
        <v>5</v>
      </c>
      <c r="H268" t="s">
        <v>520</v>
      </c>
      <c r="J268">
        <v>25.2</v>
      </c>
      <c r="K268">
        <v>171.1</v>
      </c>
      <c r="L268">
        <v>34</v>
      </c>
      <c r="M268">
        <v>9.9412731062620593E-2</v>
      </c>
      <c r="S268">
        <f t="shared" si="4"/>
        <v>0</v>
      </c>
      <c r="V268">
        <v>4</v>
      </c>
      <c r="W268">
        <v>1</v>
      </c>
      <c r="X268">
        <v>4.2</v>
      </c>
      <c r="Y268">
        <v>0.15</v>
      </c>
      <c r="Z268">
        <v>634.85764053369314</v>
      </c>
      <c r="AA268">
        <v>2306.2261423095579</v>
      </c>
      <c r="AB268">
        <v>2307.0610000000001</v>
      </c>
      <c r="AC268">
        <v>1.98</v>
      </c>
    </row>
    <row r="269" spans="2:40" x14ac:dyDescent="0.3">
      <c r="B269" t="s">
        <v>525</v>
      </c>
      <c r="C269" s="2">
        <v>45971</v>
      </c>
      <c r="D269" t="s">
        <v>203</v>
      </c>
      <c r="E269">
        <v>6</v>
      </c>
      <c r="F269" t="s">
        <v>526</v>
      </c>
      <c r="H269" t="s">
        <v>520</v>
      </c>
      <c r="J269">
        <v>25.2</v>
      </c>
      <c r="K269">
        <v>167.6</v>
      </c>
      <c r="L269">
        <v>32.71</v>
      </c>
      <c r="M269">
        <v>9.9412731062620593E-2</v>
      </c>
      <c r="N269">
        <v>2050.7957500000002</v>
      </c>
      <c r="O269">
        <v>2005.17220354759</v>
      </c>
      <c r="S269">
        <f t="shared" si="4"/>
        <v>0</v>
      </c>
      <c r="V269">
        <v>4</v>
      </c>
      <c r="X269">
        <v>4.2</v>
      </c>
      <c r="Y269">
        <v>0.15</v>
      </c>
      <c r="Z269">
        <v>635.21813458552958</v>
      </c>
      <c r="AA269">
        <v>2145.5297584101181</v>
      </c>
    </row>
    <row r="270" spans="2:40" x14ac:dyDescent="0.3">
      <c r="B270" t="s">
        <v>527</v>
      </c>
      <c r="C270" s="2">
        <v>45971</v>
      </c>
      <c r="D270" t="s">
        <v>498</v>
      </c>
      <c r="E270">
        <v>7</v>
      </c>
      <c r="H270" t="s">
        <v>520</v>
      </c>
      <c r="J270">
        <v>25.2</v>
      </c>
      <c r="K270">
        <v>171.2</v>
      </c>
      <c r="L270">
        <v>34</v>
      </c>
      <c r="M270">
        <v>9.9412731062620593E-2</v>
      </c>
      <c r="S270">
        <f t="shared" si="4"/>
        <v>0</v>
      </c>
      <c r="V270">
        <v>4</v>
      </c>
      <c r="W270">
        <v>1</v>
      </c>
      <c r="X270">
        <v>4.2</v>
      </c>
      <c r="Y270">
        <v>0.15</v>
      </c>
      <c r="Z270">
        <v>634.92847800870868</v>
      </c>
      <c r="AA270">
        <v>2307.8152703024998</v>
      </c>
      <c r="AB270">
        <v>2307.0610000000001</v>
      </c>
      <c r="AC270">
        <v>1.98</v>
      </c>
    </row>
    <row r="271" spans="2:40" x14ac:dyDescent="0.3">
      <c r="B271" t="s">
        <v>528</v>
      </c>
      <c r="C271" s="2">
        <v>45971</v>
      </c>
      <c r="D271" t="s">
        <v>498</v>
      </c>
      <c r="E271">
        <v>8</v>
      </c>
      <c r="H271" t="s">
        <v>520</v>
      </c>
      <c r="J271">
        <v>25.2</v>
      </c>
      <c r="K271">
        <v>171.15</v>
      </c>
      <c r="L271">
        <v>34</v>
      </c>
      <c r="M271">
        <v>9.9412731062620593E-2</v>
      </c>
      <c r="S271">
        <f t="shared" si="4"/>
        <v>0</v>
      </c>
      <c r="V271">
        <v>4</v>
      </c>
      <c r="W271">
        <v>1</v>
      </c>
      <c r="X271">
        <v>4.2</v>
      </c>
      <c r="Y271">
        <v>0.15</v>
      </c>
      <c r="Z271">
        <v>634.99256128337345</v>
      </c>
      <c r="AA271">
        <v>2307.6061929026032</v>
      </c>
      <c r="AB271">
        <v>2307.0610000000001</v>
      </c>
      <c r="AC271">
        <v>1.98</v>
      </c>
    </row>
    <row r="272" spans="2:40" x14ac:dyDescent="0.3">
      <c r="B272" t="s">
        <v>529</v>
      </c>
      <c r="C272" s="2">
        <v>45971</v>
      </c>
      <c r="D272" t="s">
        <v>498</v>
      </c>
      <c r="E272">
        <v>9</v>
      </c>
      <c r="H272" t="s">
        <v>520</v>
      </c>
      <c r="J272">
        <v>25.2</v>
      </c>
      <c r="K272">
        <v>171.15</v>
      </c>
      <c r="L272">
        <v>34</v>
      </c>
      <c r="M272">
        <v>9.9412731062620593E-2</v>
      </c>
      <c r="S272">
        <f t="shared" si="4"/>
        <v>0</v>
      </c>
      <c r="V272">
        <v>4</v>
      </c>
      <c r="X272">
        <v>4.05</v>
      </c>
      <c r="Y272">
        <v>0.15</v>
      </c>
      <c r="Z272">
        <v>634.9609503187213</v>
      </c>
      <c r="AA272">
        <v>2309.5022350699242</v>
      </c>
    </row>
    <row r="273" spans="2:40" x14ac:dyDescent="0.3">
      <c r="B273" t="s">
        <v>530</v>
      </c>
      <c r="C273" s="2">
        <v>45971</v>
      </c>
      <c r="D273" t="s">
        <v>498</v>
      </c>
      <c r="E273">
        <v>10</v>
      </c>
      <c r="H273" t="s">
        <v>520</v>
      </c>
      <c r="J273">
        <v>25.2</v>
      </c>
      <c r="K273">
        <v>171.2</v>
      </c>
      <c r="L273">
        <v>34</v>
      </c>
      <c r="M273">
        <v>9.9412731062620593E-2</v>
      </c>
      <c r="S273">
        <f t="shared" si="4"/>
        <v>0</v>
      </c>
      <c r="V273">
        <v>4</v>
      </c>
      <c r="X273">
        <v>3.9</v>
      </c>
      <c r="Y273">
        <v>0.15</v>
      </c>
      <c r="Z273">
        <v>634.99899410780711</v>
      </c>
      <c r="AA273">
        <v>2307.684772992895</v>
      </c>
    </row>
    <row r="274" spans="2:40" x14ac:dyDescent="0.3">
      <c r="B274" t="s">
        <v>531</v>
      </c>
      <c r="C274" s="2">
        <v>45971</v>
      </c>
      <c r="D274" t="s">
        <v>498</v>
      </c>
      <c r="E274">
        <v>11</v>
      </c>
      <c r="H274" t="s">
        <v>520</v>
      </c>
      <c r="J274">
        <v>25.2</v>
      </c>
      <c r="K274">
        <v>171.15</v>
      </c>
      <c r="L274">
        <v>34</v>
      </c>
      <c r="M274">
        <v>9.9412731062620593E-2</v>
      </c>
      <c r="S274">
        <f t="shared" si="4"/>
        <v>0</v>
      </c>
      <c r="V274">
        <v>4</v>
      </c>
      <c r="W274">
        <v>1</v>
      </c>
      <c r="X274">
        <v>4.2</v>
      </c>
      <c r="Y274">
        <v>0.15</v>
      </c>
      <c r="Z274">
        <v>635.09235539739166</v>
      </c>
      <c r="AA274">
        <v>2311.2785623935902</v>
      </c>
      <c r="AB274">
        <v>2307.0610000000001</v>
      </c>
      <c r="AC274">
        <v>1.98</v>
      </c>
    </row>
    <row r="275" spans="2:40" x14ac:dyDescent="0.3">
      <c r="B275" t="s">
        <v>532</v>
      </c>
      <c r="C275" s="2">
        <v>45971</v>
      </c>
      <c r="D275" t="s">
        <v>498</v>
      </c>
      <c r="E275">
        <v>12</v>
      </c>
      <c r="H275" t="s">
        <v>520</v>
      </c>
      <c r="J275">
        <v>25.2</v>
      </c>
      <c r="K275">
        <v>171.2</v>
      </c>
      <c r="L275">
        <v>34</v>
      </c>
      <c r="M275">
        <v>9.9412731062620593E-2</v>
      </c>
      <c r="S275">
        <f t="shared" si="4"/>
        <v>0</v>
      </c>
      <c r="V275">
        <v>4</v>
      </c>
      <c r="W275">
        <v>1</v>
      </c>
      <c r="X275">
        <v>4.2</v>
      </c>
      <c r="Y275">
        <v>0.15</v>
      </c>
      <c r="Z275">
        <v>635.01584093343638</v>
      </c>
      <c r="AA275">
        <v>2306.6475455186842</v>
      </c>
      <c r="AB275">
        <v>2307.0610000000001</v>
      </c>
      <c r="AC275">
        <v>1.98</v>
      </c>
    </row>
    <row r="276" spans="2:40" x14ac:dyDescent="0.3">
      <c r="B276" t="s">
        <v>533</v>
      </c>
      <c r="C276" s="2">
        <v>45972</v>
      </c>
      <c r="D276" t="s">
        <v>498</v>
      </c>
      <c r="E276">
        <v>1</v>
      </c>
      <c r="J276">
        <v>25.1</v>
      </c>
      <c r="K276">
        <v>170.65</v>
      </c>
      <c r="L276">
        <v>34</v>
      </c>
      <c r="M276">
        <v>9.9412731062620593E-2</v>
      </c>
      <c r="N276">
        <v>2261.8766000000001</v>
      </c>
      <c r="O276">
        <v>2209.4374449204538</v>
      </c>
      <c r="S276">
        <f t="shared" si="4"/>
        <v>0</v>
      </c>
      <c r="V276">
        <v>4</v>
      </c>
      <c r="X276">
        <v>4.2</v>
      </c>
      <c r="Y276">
        <v>0.15</v>
      </c>
      <c r="Z276">
        <v>635.36149713035024</v>
      </c>
      <c r="AA276">
        <v>2317.9713802971278</v>
      </c>
    </row>
    <row r="277" spans="2:40" x14ac:dyDescent="0.3">
      <c r="B277" t="s">
        <v>534</v>
      </c>
      <c r="C277" s="2">
        <v>45972</v>
      </c>
      <c r="D277" t="s">
        <v>498</v>
      </c>
      <c r="E277">
        <v>2</v>
      </c>
      <c r="F277">
        <v>1</v>
      </c>
      <c r="G277">
        <v>387</v>
      </c>
      <c r="J277">
        <v>25.2</v>
      </c>
      <c r="K277">
        <v>170.65</v>
      </c>
      <c r="L277">
        <v>34</v>
      </c>
      <c r="M277">
        <v>9.9412731062620593E-2</v>
      </c>
      <c r="N277">
        <v>2261.8766000000001</v>
      </c>
      <c r="O277">
        <v>2209.4374449204538</v>
      </c>
      <c r="P277">
        <v>1624.4839313243251</v>
      </c>
      <c r="Q277">
        <v>1701.196814155669</v>
      </c>
      <c r="R277">
        <v>1702.7998658341189</v>
      </c>
      <c r="S277">
        <f t="shared" si="4"/>
        <v>-1.6030516784499014</v>
      </c>
      <c r="T277">
        <v>0</v>
      </c>
      <c r="U277">
        <v>619</v>
      </c>
      <c r="V277">
        <v>4</v>
      </c>
      <c r="W277">
        <v>1</v>
      </c>
      <c r="X277">
        <v>4.2</v>
      </c>
      <c r="Y277">
        <v>0.15</v>
      </c>
      <c r="Z277">
        <v>635.5389260046644</v>
      </c>
      <c r="AA277">
        <v>2318.9922822810531</v>
      </c>
      <c r="AB277">
        <v>2320.422</v>
      </c>
      <c r="AC277">
        <v>1.248</v>
      </c>
      <c r="AD277" t="s">
        <v>535</v>
      </c>
      <c r="AE277" t="s">
        <v>535</v>
      </c>
      <c r="AG277">
        <v>1661.0784000000001</v>
      </c>
      <c r="AH277">
        <v>1661.0784000000001</v>
      </c>
      <c r="AM277">
        <v>73.52477595865183</v>
      </c>
      <c r="AN277">
        <v>0.65968799884602869</v>
      </c>
    </row>
    <row r="278" spans="2:40" x14ac:dyDescent="0.3">
      <c r="B278" t="s">
        <v>536</v>
      </c>
      <c r="C278" s="2">
        <v>45972</v>
      </c>
      <c r="D278" t="s">
        <v>498</v>
      </c>
      <c r="E278">
        <v>3</v>
      </c>
      <c r="F278">
        <v>1</v>
      </c>
      <c r="G278">
        <v>388</v>
      </c>
      <c r="J278">
        <v>25.2</v>
      </c>
      <c r="K278">
        <v>170.9</v>
      </c>
      <c r="L278">
        <v>34</v>
      </c>
      <c r="M278">
        <v>9.9412731062620593E-2</v>
      </c>
      <c r="N278">
        <v>2261.8766000000001</v>
      </c>
      <c r="O278">
        <v>2209.4374449204538</v>
      </c>
      <c r="P278">
        <v>1643.5171727844711</v>
      </c>
      <c r="Q278">
        <v>1721.136943399674</v>
      </c>
      <c r="R278">
        <v>1722.75894610604</v>
      </c>
      <c r="S278">
        <f t="shared" si="4"/>
        <v>-1.6220027063659472</v>
      </c>
      <c r="T278">
        <v>0</v>
      </c>
      <c r="U278">
        <v>613</v>
      </c>
      <c r="V278">
        <v>4</v>
      </c>
      <c r="X278">
        <v>4.05</v>
      </c>
      <c r="Y278">
        <v>0.15</v>
      </c>
      <c r="Z278">
        <v>635.62655794738043</v>
      </c>
      <c r="AA278">
        <v>2318.9371291920938</v>
      </c>
      <c r="AD278" t="s">
        <v>537</v>
      </c>
      <c r="AE278" t="s">
        <v>537</v>
      </c>
      <c r="AG278">
        <v>1680.5404000000001</v>
      </c>
      <c r="AH278">
        <v>1680.5404000000001</v>
      </c>
      <c r="AM278">
        <v>74.386227886331611</v>
      </c>
      <c r="AN278">
        <v>0.65974017590256684</v>
      </c>
    </row>
    <row r="279" spans="2:40" x14ac:dyDescent="0.3">
      <c r="B279" t="s">
        <v>538</v>
      </c>
      <c r="C279" s="2">
        <v>45972</v>
      </c>
      <c r="D279" t="s">
        <v>498</v>
      </c>
      <c r="E279">
        <v>4</v>
      </c>
      <c r="F279">
        <v>1</v>
      </c>
      <c r="G279">
        <v>389</v>
      </c>
      <c r="J279">
        <v>25.2</v>
      </c>
      <c r="K279">
        <v>170.95</v>
      </c>
      <c r="L279">
        <v>34</v>
      </c>
      <c r="M279">
        <v>9.9412731062620593E-2</v>
      </c>
      <c r="N279">
        <v>2261.8766000000001</v>
      </c>
      <c r="O279">
        <v>2209.4374449204538</v>
      </c>
      <c r="P279">
        <v>1659.2991548039511</v>
      </c>
      <c r="Q279">
        <v>1737.670889194168</v>
      </c>
      <c r="R279">
        <v>1739.3086055166459</v>
      </c>
      <c r="S279">
        <f t="shared" si="4"/>
        <v>-1.6377163224778997</v>
      </c>
      <c r="T279">
        <v>0</v>
      </c>
      <c r="U279">
        <v>593</v>
      </c>
      <c r="V279">
        <v>4</v>
      </c>
      <c r="X279">
        <v>3.9</v>
      </c>
      <c r="Y279">
        <v>0.15</v>
      </c>
      <c r="Z279">
        <v>635.63004371436944</v>
      </c>
      <c r="AA279">
        <v>2319.2955260403542</v>
      </c>
      <c r="AD279" t="s">
        <v>539</v>
      </c>
      <c r="AE279" t="s">
        <v>539</v>
      </c>
      <c r="AG279">
        <v>1696.6778999999999</v>
      </c>
      <c r="AH279">
        <v>1696.6778999999999</v>
      </c>
      <c r="AM279">
        <v>75.100526544379747</v>
      </c>
      <c r="AN279">
        <v>0.65979235295910499</v>
      </c>
    </row>
    <row r="280" spans="2:40" x14ac:dyDescent="0.3">
      <c r="B280" t="s">
        <v>540</v>
      </c>
      <c r="C280" s="2">
        <v>45972</v>
      </c>
      <c r="D280" t="s">
        <v>498</v>
      </c>
      <c r="E280">
        <v>5</v>
      </c>
      <c r="F280">
        <v>1</v>
      </c>
      <c r="G280">
        <v>390</v>
      </c>
      <c r="J280">
        <v>25.2</v>
      </c>
      <c r="K280">
        <v>170.95</v>
      </c>
      <c r="L280">
        <v>34</v>
      </c>
      <c r="M280">
        <v>9.9412731062620593E-2</v>
      </c>
      <c r="N280">
        <v>2261.8766000000001</v>
      </c>
      <c r="O280">
        <v>2209.4374449204538</v>
      </c>
      <c r="P280">
        <v>1687.910531272654</v>
      </c>
      <c r="Q280">
        <v>1767.645544349394</v>
      </c>
      <c r="R280">
        <v>1769.31174879676</v>
      </c>
      <c r="S280">
        <f t="shared" si="4"/>
        <v>-1.6662044473659989</v>
      </c>
      <c r="T280">
        <v>0</v>
      </c>
      <c r="U280">
        <v>553</v>
      </c>
      <c r="V280">
        <v>4</v>
      </c>
      <c r="X280">
        <v>3.75</v>
      </c>
      <c r="Y280">
        <v>0.15</v>
      </c>
      <c r="Z280">
        <v>635.64786762204039</v>
      </c>
      <c r="AA280">
        <v>2320.0670340088441</v>
      </c>
      <c r="AD280" t="s">
        <v>541</v>
      </c>
      <c r="AE280" t="s">
        <v>541</v>
      </c>
      <c r="AG280">
        <v>1725.9338</v>
      </c>
      <c r="AH280">
        <v>1725.9338</v>
      </c>
      <c r="AM280">
        <v>76.395488596121965</v>
      </c>
      <c r="AN280">
        <v>0.65985558535159028</v>
      </c>
    </row>
    <row r="281" spans="2:40" x14ac:dyDescent="0.3">
      <c r="B281" t="s">
        <v>542</v>
      </c>
      <c r="C281" s="2">
        <v>45972</v>
      </c>
      <c r="D281" t="s">
        <v>498</v>
      </c>
      <c r="E281">
        <v>6</v>
      </c>
      <c r="F281">
        <v>1</v>
      </c>
      <c r="G281">
        <v>391</v>
      </c>
      <c r="J281">
        <v>25.2</v>
      </c>
      <c r="K281">
        <v>170.85</v>
      </c>
      <c r="L281">
        <v>34</v>
      </c>
      <c r="M281">
        <v>9.9412731062620593E-2</v>
      </c>
      <c r="N281">
        <v>2261.8766000000001</v>
      </c>
      <c r="O281">
        <v>2209.4374449204538</v>
      </c>
      <c r="P281">
        <v>1705.6461050679429</v>
      </c>
      <c r="Q281">
        <v>1786.226144057488</v>
      </c>
      <c r="R281">
        <v>1787.91000681931</v>
      </c>
      <c r="S281">
        <f t="shared" si="4"/>
        <v>-1.6838627618219562</v>
      </c>
      <c r="T281">
        <v>0</v>
      </c>
      <c r="U281">
        <v>530</v>
      </c>
      <c r="V281">
        <v>4</v>
      </c>
      <c r="X281">
        <v>3.6</v>
      </c>
      <c r="Y281">
        <v>0.15</v>
      </c>
      <c r="Z281">
        <v>635.68195254676971</v>
      </c>
      <c r="AA281">
        <v>2311.889584150802</v>
      </c>
      <c r="AD281" t="s">
        <v>543</v>
      </c>
      <c r="AE281" t="s">
        <v>543</v>
      </c>
      <c r="AG281">
        <v>1744.0689</v>
      </c>
      <c r="AH281">
        <v>1744.0689</v>
      </c>
      <c r="AM281">
        <v>77.198207579457005</v>
      </c>
      <c r="AN281">
        <v>0.65993379711972033</v>
      </c>
    </row>
    <row r="282" spans="2:40" x14ac:dyDescent="0.3">
      <c r="B282" t="s">
        <v>544</v>
      </c>
      <c r="C282" s="2">
        <v>45972</v>
      </c>
      <c r="D282" t="s">
        <v>498</v>
      </c>
      <c r="E282">
        <v>7</v>
      </c>
      <c r="F282">
        <v>1</v>
      </c>
      <c r="G282">
        <v>392</v>
      </c>
      <c r="J282">
        <v>25.2</v>
      </c>
      <c r="K282">
        <v>170.9</v>
      </c>
      <c r="L282">
        <v>34</v>
      </c>
      <c r="M282">
        <v>9.9412731062620593E-2</v>
      </c>
      <c r="N282">
        <v>2261.8766000000001</v>
      </c>
      <c r="O282">
        <v>2209.4374449204538</v>
      </c>
      <c r="P282">
        <v>1734.5581093459591</v>
      </c>
      <c r="Q282">
        <v>1825.3668164913749</v>
      </c>
      <c r="R282">
        <v>1827.2691373001701</v>
      </c>
      <c r="S282">
        <f t="shared" si="4"/>
        <v>-1.9023208087951389</v>
      </c>
      <c r="T282">
        <v>0.16666600000000001</v>
      </c>
      <c r="U282">
        <v>510</v>
      </c>
      <c r="V282">
        <v>4</v>
      </c>
      <c r="X282">
        <v>3.45</v>
      </c>
      <c r="Y282">
        <v>0.15</v>
      </c>
      <c r="Z282">
        <v>635.66706459786826</v>
      </c>
      <c r="AA282">
        <v>2319.879557046751</v>
      </c>
      <c r="AD282" t="s">
        <v>545</v>
      </c>
      <c r="AE282" t="s">
        <v>545</v>
      </c>
      <c r="AG282">
        <v>1773.6322</v>
      </c>
      <c r="AH282">
        <v>1773.6322</v>
      </c>
      <c r="AM282">
        <v>78.506776163034033</v>
      </c>
      <c r="AN282">
        <v>0.66003301777065093</v>
      </c>
    </row>
    <row r="283" spans="2:40" x14ac:dyDescent="0.3">
      <c r="B283" t="s">
        <v>546</v>
      </c>
      <c r="C283" s="2">
        <v>45972</v>
      </c>
      <c r="D283" t="s">
        <v>498</v>
      </c>
      <c r="E283">
        <v>8</v>
      </c>
      <c r="F283">
        <v>1</v>
      </c>
      <c r="G283">
        <v>393</v>
      </c>
      <c r="J283">
        <v>25.2</v>
      </c>
      <c r="K283">
        <v>170.95</v>
      </c>
      <c r="L283">
        <v>34</v>
      </c>
      <c r="M283">
        <v>9.9412731062620593E-2</v>
      </c>
      <c r="N283">
        <v>2261.8766000000001</v>
      </c>
      <c r="O283">
        <v>2209.4374449204538</v>
      </c>
      <c r="P283">
        <v>1790.177285774158</v>
      </c>
      <c r="Q283">
        <v>1874.7850331129559</v>
      </c>
      <c r="R283">
        <v>1876.5530619807989</v>
      </c>
      <c r="S283">
        <f t="shared" si="4"/>
        <v>-1.7680288678429861</v>
      </c>
      <c r="T283">
        <v>0</v>
      </c>
      <c r="U283">
        <v>490</v>
      </c>
      <c r="V283">
        <v>4</v>
      </c>
      <c r="X283">
        <v>3.3</v>
      </c>
      <c r="Y283">
        <v>0.15</v>
      </c>
      <c r="Z283">
        <v>635.6218247909253</v>
      </c>
      <c r="AA283">
        <v>2321.050530741416</v>
      </c>
      <c r="AD283" t="s">
        <v>547</v>
      </c>
      <c r="AE283" t="s">
        <v>547</v>
      </c>
      <c r="AG283">
        <v>1830.5043000000001</v>
      </c>
      <c r="AH283">
        <v>1830.5043000000001</v>
      </c>
      <c r="AM283">
        <v>81.024121768634629</v>
      </c>
      <c r="AN283">
        <v>0.66016301249736231</v>
      </c>
    </row>
    <row r="284" spans="2:40" x14ac:dyDescent="0.3">
      <c r="B284" t="s">
        <v>548</v>
      </c>
      <c r="C284" s="2">
        <v>45972</v>
      </c>
      <c r="D284" t="s">
        <v>498</v>
      </c>
      <c r="E284">
        <v>9</v>
      </c>
      <c r="F284">
        <v>1</v>
      </c>
      <c r="G284">
        <v>394</v>
      </c>
      <c r="J284">
        <v>25.2</v>
      </c>
      <c r="K284">
        <v>170.85</v>
      </c>
      <c r="L284">
        <v>34</v>
      </c>
      <c r="M284">
        <v>9.9412731062620593E-2</v>
      </c>
      <c r="N284">
        <v>2261.8766000000001</v>
      </c>
      <c r="O284">
        <v>2209.4374449204538</v>
      </c>
      <c r="P284">
        <v>1774.203132757508</v>
      </c>
      <c r="Q284">
        <v>1858.049517276547</v>
      </c>
      <c r="R284">
        <v>1859.801636118576</v>
      </c>
      <c r="S284">
        <f t="shared" si="4"/>
        <v>-1.7521188420289491</v>
      </c>
      <c r="T284">
        <v>0</v>
      </c>
      <c r="U284">
        <v>518</v>
      </c>
      <c r="V284">
        <v>4</v>
      </c>
      <c r="X284">
        <v>3.15</v>
      </c>
      <c r="Y284">
        <v>0.15</v>
      </c>
      <c r="Z284">
        <v>635.61931658864535</v>
      </c>
      <c r="AA284">
        <v>2319.0896812211959</v>
      </c>
      <c r="AD284" t="s">
        <v>549</v>
      </c>
      <c r="AE284" t="s">
        <v>549</v>
      </c>
      <c r="AG284">
        <v>1814.1703</v>
      </c>
      <c r="AH284">
        <v>1814.1703</v>
      </c>
      <c r="AM284">
        <v>80.301125376345951</v>
      </c>
      <c r="AN284">
        <v>0.66034070497183761</v>
      </c>
    </row>
    <row r="285" spans="2:40" x14ac:dyDescent="0.3">
      <c r="B285" t="s">
        <v>550</v>
      </c>
      <c r="C285" s="2">
        <v>45972</v>
      </c>
      <c r="D285" t="s">
        <v>498</v>
      </c>
      <c r="E285">
        <v>10</v>
      </c>
      <c r="F285">
        <v>1</v>
      </c>
      <c r="J285">
        <v>25.2</v>
      </c>
      <c r="K285">
        <v>170.9</v>
      </c>
      <c r="L285">
        <v>34</v>
      </c>
      <c r="M285">
        <v>9.9412731062620593E-2</v>
      </c>
      <c r="N285">
        <v>2261.8766000000001</v>
      </c>
      <c r="O285">
        <v>2209.4374449204538</v>
      </c>
      <c r="S285">
        <f t="shared" si="4"/>
        <v>0</v>
      </c>
      <c r="V285">
        <v>4</v>
      </c>
      <c r="X285">
        <v>3</v>
      </c>
      <c r="Y285">
        <v>0.15</v>
      </c>
      <c r="Z285">
        <v>635.74611747483402</v>
      </c>
      <c r="AA285">
        <v>2322.515842938004</v>
      </c>
    </row>
    <row r="286" spans="2:40" x14ac:dyDescent="0.3">
      <c r="B286" t="s">
        <v>551</v>
      </c>
      <c r="C286" s="2">
        <v>45972</v>
      </c>
      <c r="D286" t="s">
        <v>498</v>
      </c>
      <c r="E286">
        <v>11</v>
      </c>
      <c r="F286">
        <v>1</v>
      </c>
      <c r="G286">
        <v>396</v>
      </c>
      <c r="J286">
        <v>25.2</v>
      </c>
      <c r="K286">
        <v>170.8</v>
      </c>
      <c r="L286">
        <v>34</v>
      </c>
      <c r="M286">
        <v>9.9412731062620593E-2</v>
      </c>
      <c r="N286">
        <v>2261.8766000000001</v>
      </c>
      <c r="O286">
        <v>2209.4374449204538</v>
      </c>
      <c r="P286">
        <v>1790.277821033746</v>
      </c>
      <c r="Q286">
        <v>1874.8899007476559</v>
      </c>
      <c r="R286">
        <v>1876.6580201481579</v>
      </c>
      <c r="S286">
        <f t="shared" si="4"/>
        <v>-1.7681194005019734</v>
      </c>
      <c r="T286">
        <v>0</v>
      </c>
      <c r="U286">
        <v>483</v>
      </c>
      <c r="V286">
        <v>4</v>
      </c>
      <c r="X286">
        <v>3</v>
      </c>
      <c r="Y286">
        <v>0.15</v>
      </c>
      <c r="Z286">
        <v>635.73906397175097</v>
      </c>
      <c r="AA286">
        <v>2323.06034891728</v>
      </c>
      <c r="AD286" t="s">
        <v>552</v>
      </c>
      <c r="AE286" t="s">
        <v>552</v>
      </c>
      <c r="AG286">
        <v>1830.6070999999999</v>
      </c>
      <c r="AH286">
        <v>1830.6070999999999</v>
      </c>
      <c r="AM286">
        <v>81.028672033672407</v>
      </c>
      <c r="AN286">
        <v>0.66059820739320863</v>
      </c>
    </row>
    <row r="287" spans="2:40" x14ac:dyDescent="0.3">
      <c r="B287" t="s">
        <v>553</v>
      </c>
      <c r="C287" s="2">
        <v>45972</v>
      </c>
      <c r="D287" t="s">
        <v>498</v>
      </c>
      <c r="E287">
        <v>12</v>
      </c>
      <c r="F287">
        <v>1</v>
      </c>
      <c r="G287">
        <v>397</v>
      </c>
      <c r="J287">
        <v>25.2</v>
      </c>
      <c r="K287">
        <v>170.85</v>
      </c>
      <c r="L287">
        <v>34</v>
      </c>
      <c r="M287">
        <v>9.9412731062620593E-2</v>
      </c>
      <c r="N287">
        <v>2261.8766000000001</v>
      </c>
      <c r="O287">
        <v>2209.4374449204538</v>
      </c>
      <c r="P287">
        <v>1846.7213279124001</v>
      </c>
      <c r="Q287">
        <v>1934.021762050286</v>
      </c>
      <c r="R287">
        <v>1935.846059382219</v>
      </c>
      <c r="S287">
        <f t="shared" si="4"/>
        <v>-1.8242973319329394</v>
      </c>
      <c r="T287">
        <v>0</v>
      </c>
      <c r="U287">
        <v>430</v>
      </c>
      <c r="V287">
        <v>4</v>
      </c>
      <c r="X287">
        <v>2.7</v>
      </c>
      <c r="Y287">
        <v>0.15</v>
      </c>
      <c r="Z287">
        <v>635.61125387878701</v>
      </c>
      <c r="AA287">
        <v>2321.6383630712471</v>
      </c>
      <c r="AD287" t="s">
        <v>554</v>
      </c>
      <c r="AE287" t="s">
        <v>554</v>
      </c>
      <c r="AG287">
        <v>1888.3221000000001</v>
      </c>
      <c r="AH287">
        <v>1888.3221000000001</v>
      </c>
      <c r="AM287">
        <v>83.583327156786169</v>
      </c>
      <c r="AN287">
        <v>0.66174244237096302</v>
      </c>
    </row>
    <row r="288" spans="2:40" x14ac:dyDescent="0.3">
      <c r="B288" t="s">
        <v>555</v>
      </c>
      <c r="C288" s="2">
        <v>45972</v>
      </c>
      <c r="D288" t="s">
        <v>498</v>
      </c>
      <c r="E288">
        <v>13</v>
      </c>
      <c r="F288">
        <v>1</v>
      </c>
      <c r="G288">
        <v>398</v>
      </c>
      <c r="J288">
        <v>25.2</v>
      </c>
      <c r="K288">
        <v>170.8</v>
      </c>
      <c r="L288">
        <v>34</v>
      </c>
      <c r="M288">
        <v>9.9412731062620593E-2</v>
      </c>
      <c r="N288">
        <v>2261.8766000000001</v>
      </c>
      <c r="O288">
        <v>2209.4374449204538</v>
      </c>
      <c r="P288">
        <v>1887.1837381913001</v>
      </c>
      <c r="Q288">
        <v>1976.4005203837701</v>
      </c>
      <c r="R288">
        <v>1978.2648632054829</v>
      </c>
      <c r="S288">
        <f t="shared" si="4"/>
        <v>-1.864342821712853</v>
      </c>
      <c r="T288">
        <v>0</v>
      </c>
      <c r="U288">
        <v>384</v>
      </c>
      <c r="V288">
        <v>4</v>
      </c>
      <c r="X288">
        <v>2.4</v>
      </c>
      <c r="Y288">
        <v>0.15</v>
      </c>
      <c r="AD288" t="s">
        <v>556</v>
      </c>
      <c r="AE288" t="s">
        <v>556</v>
      </c>
      <c r="AG288">
        <v>1929.6959999999999</v>
      </c>
      <c r="AH288">
        <v>1929.6959999999999</v>
      </c>
      <c r="AM288">
        <v>85.41467161833333</v>
      </c>
      <c r="AN288">
        <v>0.67285978683975189</v>
      </c>
    </row>
    <row r="289" spans="2:40" x14ac:dyDescent="0.3">
      <c r="B289" t="s">
        <v>557</v>
      </c>
      <c r="C289" s="2">
        <v>45972</v>
      </c>
      <c r="D289" t="s">
        <v>498</v>
      </c>
      <c r="E289">
        <v>14</v>
      </c>
      <c r="F289">
        <v>1</v>
      </c>
      <c r="G289">
        <v>399</v>
      </c>
      <c r="J289">
        <v>25.2</v>
      </c>
      <c r="K289">
        <v>170.85</v>
      </c>
      <c r="L289">
        <v>34</v>
      </c>
      <c r="M289">
        <v>9.9412731062620593E-2</v>
      </c>
      <c r="N289">
        <v>2261.8766000000001</v>
      </c>
      <c r="O289">
        <v>2209.4374449204538</v>
      </c>
      <c r="P289">
        <v>1936.0465148686219</v>
      </c>
      <c r="Q289">
        <v>2016.7719927577259</v>
      </c>
      <c r="R289">
        <v>2018.458894723178</v>
      </c>
      <c r="S289">
        <f t="shared" si="4"/>
        <v>-1.6869019654520798</v>
      </c>
      <c r="T289">
        <v>0</v>
      </c>
      <c r="U289">
        <v>346</v>
      </c>
      <c r="V289">
        <v>4</v>
      </c>
      <c r="X289">
        <v>2.1</v>
      </c>
      <c r="Y289">
        <v>0.15</v>
      </c>
      <c r="Z289">
        <v>504.89585785752109</v>
      </c>
      <c r="AA289">
        <v>1055.7475804066869</v>
      </c>
      <c r="AD289" t="s">
        <v>558</v>
      </c>
      <c r="AE289" t="s">
        <v>558</v>
      </c>
      <c r="AG289">
        <v>1979.6595</v>
      </c>
      <c r="AH289">
        <v>1979.6595</v>
      </c>
      <c r="AM289">
        <v>87.626219937551809</v>
      </c>
      <c r="AN289">
        <v>10.949802237035721</v>
      </c>
    </row>
    <row r="290" spans="2:40" x14ac:dyDescent="0.3">
      <c r="B290" t="s">
        <v>559</v>
      </c>
      <c r="C290" s="2">
        <v>45972</v>
      </c>
      <c r="D290" t="s">
        <v>498</v>
      </c>
      <c r="E290">
        <v>15</v>
      </c>
      <c r="F290">
        <v>1</v>
      </c>
      <c r="G290">
        <v>400</v>
      </c>
      <c r="J290">
        <v>25.2</v>
      </c>
      <c r="K290">
        <v>170.75</v>
      </c>
      <c r="L290">
        <v>34</v>
      </c>
      <c r="M290">
        <v>9.9412731062620593E-2</v>
      </c>
      <c r="N290">
        <v>2261.8766000000001</v>
      </c>
      <c r="O290">
        <v>2209.4374449204538</v>
      </c>
      <c r="P290">
        <v>1692.53446863509</v>
      </c>
      <c r="Q290">
        <v>1772.48999089173</v>
      </c>
      <c r="R290">
        <v>1774.160803269315</v>
      </c>
      <c r="S290">
        <f t="shared" si="4"/>
        <v>-1.6708123775849799</v>
      </c>
      <c r="T290">
        <v>0</v>
      </c>
      <c r="U290">
        <v>625</v>
      </c>
      <c r="V290">
        <v>4</v>
      </c>
      <c r="W290">
        <v>1</v>
      </c>
      <c r="X290">
        <v>4.2</v>
      </c>
      <c r="Y290">
        <v>0.15</v>
      </c>
      <c r="Z290">
        <v>635.57458028042629</v>
      </c>
      <c r="AA290">
        <v>2320.9802341592772</v>
      </c>
      <c r="AB290">
        <v>2320.422</v>
      </c>
      <c r="AC290">
        <v>1.248</v>
      </c>
      <c r="AD290" t="s">
        <v>560</v>
      </c>
      <c r="AE290" t="s">
        <v>560</v>
      </c>
      <c r="AG290">
        <v>1730.6619000000001</v>
      </c>
      <c r="AH290">
        <v>1730.6619000000001</v>
      </c>
      <c r="AM290">
        <v>76.604769803565361</v>
      </c>
      <c r="AN290">
        <v>0.65968799884602869</v>
      </c>
    </row>
    <row r="291" spans="2:40" x14ac:dyDescent="0.3">
      <c r="B291" t="s">
        <v>561</v>
      </c>
      <c r="C291" s="2">
        <v>45972</v>
      </c>
      <c r="D291" t="s">
        <v>498</v>
      </c>
      <c r="E291">
        <v>16</v>
      </c>
      <c r="F291">
        <v>1</v>
      </c>
      <c r="G291">
        <v>402</v>
      </c>
      <c r="J291">
        <v>25.2</v>
      </c>
      <c r="K291">
        <v>170.7</v>
      </c>
      <c r="L291">
        <v>34</v>
      </c>
      <c r="M291">
        <v>9.9412731062620593E-2</v>
      </c>
      <c r="N291">
        <v>2261.8766000000001</v>
      </c>
      <c r="O291">
        <v>2209.4374449204538</v>
      </c>
      <c r="P291">
        <v>1976.2127959976849</v>
      </c>
      <c r="Q291">
        <v>2045.0161418985069</v>
      </c>
      <c r="R291">
        <v>2046.4539097812731</v>
      </c>
      <c r="S291">
        <f t="shared" si="4"/>
        <v>-1.4377678827661384</v>
      </c>
      <c r="T291">
        <v>0</v>
      </c>
      <c r="U291">
        <v>315</v>
      </c>
      <c r="V291">
        <v>4</v>
      </c>
      <c r="X291">
        <v>1.8</v>
      </c>
      <c r="Y291">
        <v>0.15</v>
      </c>
      <c r="Z291">
        <v>476.66392021673721</v>
      </c>
      <c r="AA291">
        <v>524.77070956107275</v>
      </c>
      <c r="AD291" t="s">
        <v>562</v>
      </c>
      <c r="AE291" t="s">
        <v>562</v>
      </c>
      <c r="AG291">
        <v>2020.7306000000001</v>
      </c>
      <c r="AH291">
        <v>2020.7306000000001</v>
      </c>
      <c r="AM291">
        <v>89.444161478345649</v>
      </c>
      <c r="AN291">
        <v>24.09188079278708</v>
      </c>
    </row>
    <row r="292" spans="2:40" x14ac:dyDescent="0.3">
      <c r="B292" t="s">
        <v>563</v>
      </c>
      <c r="C292" s="2">
        <v>45972</v>
      </c>
      <c r="D292" t="s">
        <v>498</v>
      </c>
      <c r="E292">
        <v>17</v>
      </c>
      <c r="F292">
        <v>1</v>
      </c>
      <c r="G292">
        <v>403</v>
      </c>
      <c r="J292">
        <v>25.2</v>
      </c>
      <c r="K292">
        <v>170.7</v>
      </c>
      <c r="L292">
        <v>34</v>
      </c>
      <c r="M292">
        <v>9.9412731062620593E-2</v>
      </c>
      <c r="N292">
        <v>2261.8766000000001</v>
      </c>
      <c r="O292">
        <v>2209.4374449204538</v>
      </c>
      <c r="P292">
        <v>2028.246540823726</v>
      </c>
      <c r="Q292">
        <v>2085.8794748368819</v>
      </c>
      <c r="R292">
        <v>2087.0838171610631</v>
      </c>
      <c r="S292">
        <f t="shared" si="4"/>
        <v>-1.2043423241811979</v>
      </c>
      <c r="T292">
        <v>0</v>
      </c>
      <c r="U292">
        <v>262</v>
      </c>
      <c r="V292">
        <v>4</v>
      </c>
      <c r="X292">
        <v>1.5</v>
      </c>
      <c r="Y292">
        <v>0.15</v>
      </c>
      <c r="Z292">
        <v>470.53042362273447</v>
      </c>
      <c r="AA292">
        <v>401.07671312523922</v>
      </c>
      <c r="AD292" t="s">
        <v>564</v>
      </c>
      <c r="AE292" t="s">
        <v>564</v>
      </c>
      <c r="AG292">
        <v>2073.9364999999998</v>
      </c>
      <c r="AH292">
        <v>2073.9364999999998</v>
      </c>
      <c r="AM292">
        <v>91.799229052024543</v>
      </c>
      <c r="AN292">
        <v>37.057070352515659</v>
      </c>
    </row>
    <row r="293" spans="2:40" x14ac:dyDescent="0.3">
      <c r="B293" t="s">
        <v>565</v>
      </c>
      <c r="C293" s="2">
        <v>45972</v>
      </c>
      <c r="D293" t="s">
        <v>498</v>
      </c>
      <c r="E293">
        <v>18</v>
      </c>
      <c r="F293">
        <v>1</v>
      </c>
      <c r="G293">
        <v>404</v>
      </c>
      <c r="J293">
        <v>25.2</v>
      </c>
      <c r="K293">
        <v>170.7</v>
      </c>
      <c r="L293">
        <v>34</v>
      </c>
      <c r="M293">
        <v>9.9412731062620593E-2</v>
      </c>
      <c r="N293">
        <v>2261.8766000000001</v>
      </c>
      <c r="O293">
        <v>2209.4374449204538</v>
      </c>
      <c r="P293">
        <v>2069.7636911557952</v>
      </c>
      <c r="Q293">
        <v>2115.8846816910718</v>
      </c>
      <c r="R293">
        <v>2116.8484615486459</v>
      </c>
      <c r="S293">
        <f t="shared" si="4"/>
        <v>-0.96377985757408169</v>
      </c>
      <c r="T293">
        <v>0</v>
      </c>
      <c r="U293">
        <v>233</v>
      </c>
      <c r="V293">
        <v>4</v>
      </c>
      <c r="X293">
        <v>1.2</v>
      </c>
      <c r="Y293">
        <v>0.15</v>
      </c>
      <c r="Z293">
        <v>463.6531826283283</v>
      </c>
      <c r="AA293">
        <v>301.84870578337859</v>
      </c>
      <c r="AD293" t="s">
        <v>566</v>
      </c>
      <c r="AE293" t="s">
        <v>566</v>
      </c>
      <c r="AG293">
        <v>2116.3888999999999</v>
      </c>
      <c r="AH293">
        <v>2116.3888999999999</v>
      </c>
      <c r="AM293">
        <v>93.678311459517829</v>
      </c>
      <c r="AN293">
        <v>49.87067566078656</v>
      </c>
    </row>
    <row r="294" spans="2:40" x14ac:dyDescent="0.3">
      <c r="B294" t="s">
        <v>567</v>
      </c>
      <c r="C294" s="2">
        <v>45972</v>
      </c>
      <c r="D294" t="s">
        <v>498</v>
      </c>
      <c r="E294">
        <v>19</v>
      </c>
      <c r="F294">
        <v>1</v>
      </c>
      <c r="G294">
        <v>405</v>
      </c>
      <c r="J294">
        <v>25.2</v>
      </c>
      <c r="K294">
        <v>170.6</v>
      </c>
      <c r="L294">
        <v>34</v>
      </c>
      <c r="M294">
        <v>9.9412731062620593E-2</v>
      </c>
      <c r="N294">
        <v>2261.8766000000001</v>
      </c>
      <c r="O294">
        <v>2209.4374449204538</v>
      </c>
      <c r="P294">
        <v>2101.5230534911138</v>
      </c>
      <c r="Q294">
        <v>2137.6524488976111</v>
      </c>
      <c r="R294">
        <v>2138.4083735797799</v>
      </c>
      <c r="S294">
        <f t="shared" si="4"/>
        <v>-0.7559246821688248</v>
      </c>
      <c r="T294">
        <v>8.3330000000000001E-2</v>
      </c>
      <c r="V294">
        <v>4</v>
      </c>
      <c r="X294">
        <v>0.9</v>
      </c>
      <c r="Y294">
        <v>0.15</v>
      </c>
      <c r="Z294">
        <v>456.39492060744402</v>
      </c>
      <c r="AA294">
        <v>198.02766399543489</v>
      </c>
      <c r="AD294" t="s">
        <v>568</v>
      </c>
      <c r="AE294" t="s">
        <v>568</v>
      </c>
      <c r="AG294">
        <v>2148.8636999999999</v>
      </c>
      <c r="AH294">
        <v>2148.8636999999999</v>
      </c>
      <c r="AM294">
        <v>95.11575257867392</v>
      </c>
      <c r="AN294">
        <v>62.554572766963787</v>
      </c>
    </row>
    <row r="295" spans="2:40" x14ac:dyDescent="0.3">
      <c r="B295" t="s">
        <v>569</v>
      </c>
      <c r="C295" s="2">
        <v>45972</v>
      </c>
      <c r="D295" t="s">
        <v>498</v>
      </c>
      <c r="E295">
        <v>20</v>
      </c>
      <c r="F295">
        <v>1</v>
      </c>
      <c r="G295">
        <v>406</v>
      </c>
      <c r="J295">
        <v>25.2</v>
      </c>
      <c r="K295">
        <v>170.6</v>
      </c>
      <c r="L295">
        <v>34</v>
      </c>
      <c r="M295">
        <v>9.9412731062620593E-2</v>
      </c>
      <c r="N295">
        <v>2261.8766000000001</v>
      </c>
      <c r="O295">
        <v>2209.4374449204538</v>
      </c>
      <c r="P295">
        <v>2140.869307235308</v>
      </c>
      <c r="Q295">
        <v>2163.788188520824</v>
      </c>
      <c r="R295">
        <v>2164.2671191744112</v>
      </c>
      <c r="S295">
        <f t="shared" si="4"/>
        <v>-0.47893065358721287</v>
      </c>
      <c r="T295">
        <v>0</v>
      </c>
      <c r="U295">
        <v>125</v>
      </c>
      <c r="V295">
        <v>4</v>
      </c>
      <c r="X295">
        <v>0.6</v>
      </c>
      <c r="Y295">
        <v>0.15</v>
      </c>
      <c r="Z295">
        <v>451.58610446202567</v>
      </c>
      <c r="AA295">
        <v>152.9690252681186</v>
      </c>
      <c r="AD295" t="s">
        <v>570</v>
      </c>
      <c r="AE295" t="s">
        <v>570</v>
      </c>
      <c r="AG295">
        <v>2189.0963000000002</v>
      </c>
      <c r="AH295">
        <v>2189.0963000000002</v>
      </c>
      <c r="AM295">
        <v>96.896579360380372</v>
      </c>
      <c r="AN295">
        <v>75.127272313465937</v>
      </c>
    </row>
    <row r="296" spans="2:40" x14ac:dyDescent="0.3">
      <c r="B296" t="s">
        <v>571</v>
      </c>
      <c r="C296" s="2">
        <v>45972</v>
      </c>
      <c r="D296" t="s">
        <v>498</v>
      </c>
      <c r="E296">
        <v>21</v>
      </c>
      <c r="F296">
        <v>1</v>
      </c>
      <c r="G296">
        <v>407</v>
      </c>
      <c r="J296">
        <v>25.2</v>
      </c>
      <c r="L296">
        <v>34</v>
      </c>
      <c r="M296">
        <v>9.9412731062620593E-2</v>
      </c>
      <c r="N296">
        <v>2261.8766000000001</v>
      </c>
      <c r="O296">
        <v>2209.4374449204538</v>
      </c>
      <c r="P296">
        <v>2167.9006762585782</v>
      </c>
      <c r="Q296">
        <v>2178.97144309021</v>
      </c>
      <c r="R296">
        <v>2179.2027863887029</v>
      </c>
      <c r="S296">
        <f t="shared" si="4"/>
        <v>-0.23134329849290225</v>
      </c>
      <c r="T296">
        <v>0</v>
      </c>
      <c r="U296">
        <v>66</v>
      </c>
      <c r="V296">
        <v>4</v>
      </c>
      <c r="X296">
        <v>0.3</v>
      </c>
      <c r="Y296">
        <v>0.15</v>
      </c>
      <c r="Z296">
        <v>410.66758952391069</v>
      </c>
      <c r="AA296">
        <v>-150.4339525641708</v>
      </c>
      <c r="AD296" t="s">
        <v>572</v>
      </c>
      <c r="AE296" t="s">
        <v>572</v>
      </c>
      <c r="AG296">
        <v>2216.7366000000002</v>
      </c>
      <c r="AH296">
        <v>2216.7366000000002</v>
      </c>
      <c r="AM296">
        <v>98.120029659252424</v>
      </c>
      <c r="AN296">
        <v>87.604554693426934</v>
      </c>
    </row>
    <row r="297" spans="2:40" x14ac:dyDescent="0.3">
      <c r="B297" t="s">
        <v>573</v>
      </c>
      <c r="C297" s="2">
        <v>45972</v>
      </c>
      <c r="D297" t="s">
        <v>498</v>
      </c>
      <c r="E297">
        <v>22</v>
      </c>
      <c r="F297">
        <v>1</v>
      </c>
      <c r="G297">
        <v>408</v>
      </c>
      <c r="J297">
        <v>25.2</v>
      </c>
      <c r="L297">
        <v>34</v>
      </c>
      <c r="M297">
        <v>9.9412731062620593E-2</v>
      </c>
      <c r="N297">
        <v>2261.8766000000001</v>
      </c>
      <c r="O297">
        <v>2209.4374449204538</v>
      </c>
      <c r="P297">
        <v>2189.6376120636392</v>
      </c>
      <c r="Q297">
        <v>2188.6941409145052</v>
      </c>
      <c r="R297">
        <v>2188.6744254123191</v>
      </c>
      <c r="S297">
        <f t="shared" si="4"/>
        <v>1.9715502186045342E-2</v>
      </c>
      <c r="T297">
        <v>0</v>
      </c>
      <c r="U297">
        <v>0</v>
      </c>
      <c r="V297">
        <v>4</v>
      </c>
      <c r="X297">
        <v>0</v>
      </c>
      <c r="Y297">
        <v>0.15</v>
      </c>
      <c r="AD297" t="s">
        <v>574</v>
      </c>
      <c r="AE297" t="s">
        <v>574</v>
      </c>
      <c r="AG297">
        <v>2238.9632000000001</v>
      </c>
      <c r="AH297">
        <v>2238.9632000000001</v>
      </c>
      <c r="AM297">
        <v>99.103851846888219</v>
      </c>
      <c r="AN297">
        <v>100</v>
      </c>
    </row>
    <row r="298" spans="2:40" x14ac:dyDescent="0.3">
      <c r="B298" t="s">
        <v>575</v>
      </c>
      <c r="C298" s="2">
        <v>45972</v>
      </c>
      <c r="D298" t="s">
        <v>498</v>
      </c>
      <c r="E298">
        <v>23</v>
      </c>
      <c r="F298">
        <v>1</v>
      </c>
      <c r="G298">
        <v>410</v>
      </c>
      <c r="J298">
        <v>25.2</v>
      </c>
      <c r="K298">
        <v>170.45</v>
      </c>
      <c r="L298">
        <v>34</v>
      </c>
      <c r="M298">
        <v>9.9412731062620593E-2</v>
      </c>
      <c r="N298">
        <v>2261.8766000000001</v>
      </c>
      <c r="O298">
        <v>2209.4374449204538</v>
      </c>
      <c r="P298">
        <v>1641.005942827562</v>
      </c>
      <c r="Q298">
        <v>1718.50610711182</v>
      </c>
      <c r="R298">
        <v>1720.12561043187</v>
      </c>
      <c r="S298">
        <f t="shared" si="4"/>
        <v>-1.6195033200499438</v>
      </c>
      <c r="T298">
        <v>0</v>
      </c>
      <c r="U298">
        <v>628</v>
      </c>
      <c r="V298">
        <v>4</v>
      </c>
      <c r="W298">
        <v>1</v>
      </c>
      <c r="X298">
        <v>4.2</v>
      </c>
      <c r="Y298">
        <v>0.15</v>
      </c>
      <c r="Z298">
        <v>635.38169006543274</v>
      </c>
      <c r="AA298">
        <v>2321.293313807535</v>
      </c>
      <c r="AB298">
        <v>2320.422</v>
      </c>
      <c r="AC298">
        <v>1.248</v>
      </c>
      <c r="AD298" t="s">
        <v>576</v>
      </c>
      <c r="AE298" t="s">
        <v>576</v>
      </c>
      <c r="AG298">
        <v>1677.9726000000001</v>
      </c>
      <c r="AH298">
        <v>1677.9726000000001</v>
      </c>
      <c r="AM298">
        <v>74.272568639599712</v>
      </c>
      <c r="AN298">
        <v>0.65968799884602869</v>
      </c>
    </row>
    <row r="299" spans="2:40" x14ac:dyDescent="0.3">
      <c r="B299" t="s">
        <v>577</v>
      </c>
      <c r="C299" s="2">
        <v>45972</v>
      </c>
      <c r="D299" t="s">
        <v>498</v>
      </c>
      <c r="E299">
        <v>24</v>
      </c>
      <c r="F299">
        <v>1</v>
      </c>
      <c r="G299">
        <v>411</v>
      </c>
      <c r="J299">
        <v>25.2</v>
      </c>
      <c r="K299">
        <v>170.65</v>
      </c>
      <c r="L299">
        <v>34</v>
      </c>
      <c r="M299">
        <v>9.9412731062620593E-2</v>
      </c>
      <c r="N299">
        <v>2261.8766000000001</v>
      </c>
      <c r="O299">
        <v>2209.4374449204538</v>
      </c>
      <c r="P299">
        <v>2103.8971721309581</v>
      </c>
      <c r="Q299">
        <v>2138.2909416625962</v>
      </c>
      <c r="R299">
        <v>2139.0096604480332</v>
      </c>
      <c r="S299">
        <f t="shared" si="4"/>
        <v>-0.71871878543697676</v>
      </c>
      <c r="T299">
        <v>0</v>
      </c>
      <c r="U299">
        <v>197</v>
      </c>
      <c r="V299">
        <v>4</v>
      </c>
      <c r="X299">
        <v>0.9</v>
      </c>
      <c r="Y299">
        <v>0.15</v>
      </c>
      <c r="Z299">
        <v>456.30111029316612</v>
      </c>
      <c r="AA299">
        <v>197.15090286947861</v>
      </c>
      <c r="AD299" t="s">
        <v>578</v>
      </c>
      <c r="AE299" t="s">
        <v>578</v>
      </c>
      <c r="AG299">
        <v>2151.2912999999999</v>
      </c>
      <c r="AH299">
        <v>2151.2912999999999</v>
      </c>
      <c r="AM299">
        <v>95.223206113749214</v>
      </c>
      <c r="AN299">
        <v>62.554572766963787</v>
      </c>
    </row>
    <row r="300" spans="2:40" x14ac:dyDescent="0.3">
      <c r="B300" t="s">
        <v>579</v>
      </c>
      <c r="C300" s="2">
        <v>45973</v>
      </c>
      <c r="D300" t="s">
        <v>580</v>
      </c>
      <c r="E300">
        <v>1</v>
      </c>
      <c r="F300">
        <v>1</v>
      </c>
      <c r="J300">
        <v>25.2</v>
      </c>
      <c r="K300">
        <v>171.7</v>
      </c>
      <c r="L300">
        <v>32</v>
      </c>
      <c r="M300">
        <v>9.9412731062620593E-2</v>
      </c>
      <c r="N300">
        <v>2304.5273400000001</v>
      </c>
      <c r="O300">
        <v>2254.4489080622361</v>
      </c>
      <c r="S300">
        <f t="shared" si="4"/>
        <v>0</v>
      </c>
      <c r="U300">
        <v>612</v>
      </c>
      <c r="V300">
        <v>4</v>
      </c>
      <c r="X300">
        <v>4.2</v>
      </c>
      <c r="Y300">
        <v>0.15</v>
      </c>
      <c r="Z300">
        <v>634.86172493860022</v>
      </c>
      <c r="AA300">
        <v>2361.958782487583</v>
      </c>
    </row>
    <row r="301" spans="2:40" x14ac:dyDescent="0.3">
      <c r="B301" t="s">
        <v>581</v>
      </c>
      <c r="C301" s="2">
        <v>45973</v>
      </c>
      <c r="D301" t="s">
        <v>580</v>
      </c>
      <c r="E301">
        <v>2</v>
      </c>
      <c r="F301">
        <v>1</v>
      </c>
      <c r="G301">
        <v>415</v>
      </c>
      <c r="J301">
        <v>25.2</v>
      </c>
      <c r="K301">
        <v>171.55</v>
      </c>
      <c r="L301">
        <v>32</v>
      </c>
      <c r="M301">
        <v>9.9412731062620593E-2</v>
      </c>
      <c r="N301">
        <v>2304.5273400000001</v>
      </c>
      <c r="O301">
        <v>2254.4489080622361</v>
      </c>
      <c r="P301">
        <v>1709.3548148224349</v>
      </c>
      <c r="Q301">
        <v>1790.1023155204459</v>
      </c>
      <c r="R301">
        <v>1791.7896776915311</v>
      </c>
      <c r="S301">
        <f t="shared" si="4"/>
        <v>-1.6873621710851694</v>
      </c>
      <c r="T301">
        <v>0</v>
      </c>
      <c r="U301">
        <v>598</v>
      </c>
      <c r="V301">
        <v>4</v>
      </c>
      <c r="W301">
        <v>1</v>
      </c>
      <c r="X301">
        <v>4.2</v>
      </c>
      <c r="Y301">
        <v>0.15</v>
      </c>
      <c r="Z301">
        <v>634.80088038118799</v>
      </c>
      <c r="AA301">
        <v>2356.0791892899369</v>
      </c>
      <c r="AB301">
        <v>2357.0509999999999</v>
      </c>
      <c r="AC301">
        <v>0.90700000000000003</v>
      </c>
      <c r="AD301" t="s">
        <v>582</v>
      </c>
      <c r="AE301" t="s">
        <v>582</v>
      </c>
      <c r="AG301">
        <v>1745.2811999999999</v>
      </c>
      <c r="AH301">
        <v>1745.2811999999999</v>
      </c>
      <c r="AM301">
        <v>75.82140401184229</v>
      </c>
      <c r="AN301">
        <v>0.65537775392661834</v>
      </c>
    </row>
    <row r="302" spans="2:40" x14ac:dyDescent="0.3">
      <c r="B302" t="s">
        <v>583</v>
      </c>
      <c r="C302" s="2">
        <v>45973</v>
      </c>
      <c r="D302" t="s">
        <v>580</v>
      </c>
      <c r="E302">
        <v>3</v>
      </c>
      <c r="F302">
        <v>1</v>
      </c>
      <c r="G302">
        <v>416</v>
      </c>
      <c r="J302">
        <v>25.2</v>
      </c>
      <c r="K302">
        <v>171.5</v>
      </c>
      <c r="L302">
        <v>32</v>
      </c>
      <c r="M302">
        <v>9.9412731062620593E-2</v>
      </c>
      <c r="N302">
        <v>2304.5273400000001</v>
      </c>
      <c r="O302">
        <v>2254.4489080622361</v>
      </c>
      <c r="P302">
        <v>1715.4354157206419</v>
      </c>
      <c r="Q302">
        <v>1796.472659850243</v>
      </c>
      <c r="R302">
        <v>1798.1660767239709</v>
      </c>
      <c r="S302">
        <f t="shared" si="4"/>
        <v>-1.6934168737279833</v>
      </c>
      <c r="T302">
        <v>0</v>
      </c>
      <c r="U302">
        <v>594</v>
      </c>
      <c r="V302">
        <v>4</v>
      </c>
      <c r="W302">
        <v>1</v>
      </c>
      <c r="X302">
        <v>4.2</v>
      </c>
      <c r="Y302">
        <v>0.15</v>
      </c>
      <c r="Z302">
        <v>634.70944271878443</v>
      </c>
      <c r="AA302">
        <v>2357.1983153921419</v>
      </c>
      <c r="AB302">
        <v>2357.0509999999999</v>
      </c>
      <c r="AC302">
        <v>0.90700000000000003</v>
      </c>
      <c r="AD302" t="s">
        <v>584</v>
      </c>
      <c r="AE302" t="s">
        <v>584</v>
      </c>
      <c r="AG302">
        <v>1751.4896000000001</v>
      </c>
      <c r="AH302">
        <v>1751.4896000000001</v>
      </c>
      <c r="AM302">
        <v>76.091119633982217</v>
      </c>
      <c r="AN302">
        <v>0.65537775392661834</v>
      </c>
    </row>
    <row r="303" spans="2:40" x14ac:dyDescent="0.3">
      <c r="B303" t="s">
        <v>585</v>
      </c>
      <c r="C303" s="2">
        <v>45973</v>
      </c>
      <c r="D303" t="s">
        <v>580</v>
      </c>
      <c r="E303">
        <v>4</v>
      </c>
      <c r="F303">
        <v>1</v>
      </c>
      <c r="G303">
        <v>417</v>
      </c>
      <c r="J303">
        <v>25.2</v>
      </c>
      <c r="K303">
        <v>171.5</v>
      </c>
      <c r="L303">
        <v>32</v>
      </c>
      <c r="M303">
        <v>9.9412731062620593E-2</v>
      </c>
      <c r="N303">
        <v>2304.5273400000001</v>
      </c>
      <c r="O303">
        <v>2254.4489080622361</v>
      </c>
      <c r="P303">
        <v>1716.7248157403719</v>
      </c>
      <c r="Q303">
        <v>1797.823500374401</v>
      </c>
      <c r="R303">
        <v>1799.5182011563861</v>
      </c>
      <c r="S303">
        <f t="shared" si="4"/>
        <v>-1.6947007819851478</v>
      </c>
      <c r="T303">
        <v>0</v>
      </c>
      <c r="U303">
        <v>595</v>
      </c>
      <c r="V303">
        <v>4</v>
      </c>
      <c r="W303">
        <v>1</v>
      </c>
      <c r="X303">
        <v>4.2</v>
      </c>
      <c r="Y303">
        <v>0.15</v>
      </c>
      <c r="Z303">
        <v>634.61954028705645</v>
      </c>
      <c r="AA303">
        <v>2357.87473073713</v>
      </c>
      <c r="AB303">
        <v>2357.0509999999999</v>
      </c>
      <c r="AC303">
        <v>0.90700000000000003</v>
      </c>
      <c r="AD303" t="s">
        <v>586</v>
      </c>
      <c r="AE303" t="s">
        <v>586</v>
      </c>
      <c r="AG303">
        <v>1752.8061</v>
      </c>
      <c r="AH303">
        <v>1752.8061</v>
      </c>
      <c r="AM303">
        <v>76.148313213092351</v>
      </c>
      <c r="AN303">
        <v>0.65537775392661834</v>
      </c>
    </row>
    <row r="304" spans="2:40" x14ac:dyDescent="0.3">
      <c r="B304" t="s">
        <v>587</v>
      </c>
      <c r="C304" s="2">
        <v>45973</v>
      </c>
      <c r="D304" t="s">
        <v>580</v>
      </c>
      <c r="E304">
        <v>5</v>
      </c>
      <c r="F304">
        <v>1</v>
      </c>
      <c r="G304">
        <v>418</v>
      </c>
      <c r="J304">
        <v>25.2</v>
      </c>
      <c r="K304">
        <v>171.35</v>
      </c>
      <c r="L304">
        <v>32</v>
      </c>
      <c r="M304">
        <v>9.9412731062620593E-2</v>
      </c>
      <c r="N304">
        <v>2304.5273400000001</v>
      </c>
      <c r="O304">
        <v>2254.4489080622361</v>
      </c>
      <c r="P304">
        <v>1558.7711096394489</v>
      </c>
      <c r="Q304">
        <v>1632.3432274745201</v>
      </c>
      <c r="R304">
        <v>1633.880647300625</v>
      </c>
      <c r="S304">
        <f t="shared" si="4"/>
        <v>-1.5374198261049514</v>
      </c>
      <c r="T304">
        <v>0</v>
      </c>
      <c r="U304">
        <v>790</v>
      </c>
      <c r="V304">
        <v>8</v>
      </c>
      <c r="X304">
        <v>4.2</v>
      </c>
      <c r="Y304">
        <v>0.15</v>
      </c>
      <c r="Z304">
        <v>634.55131148872772</v>
      </c>
      <c r="AA304">
        <v>2357.1644891645792</v>
      </c>
      <c r="AD304" t="s">
        <v>588</v>
      </c>
      <c r="AE304" t="s">
        <v>588</v>
      </c>
      <c r="AG304">
        <v>1591.5326</v>
      </c>
      <c r="AH304">
        <v>1591.5326</v>
      </c>
      <c r="AM304">
        <v>69.142002023867448</v>
      </c>
      <c r="AN304">
        <v>0.65537775392661834</v>
      </c>
    </row>
    <row r="305" spans="2:40" x14ac:dyDescent="0.3">
      <c r="B305" t="s">
        <v>589</v>
      </c>
      <c r="C305" s="2">
        <v>45973</v>
      </c>
      <c r="D305" t="s">
        <v>580</v>
      </c>
      <c r="E305">
        <v>6</v>
      </c>
      <c r="F305">
        <v>1</v>
      </c>
      <c r="G305">
        <v>419</v>
      </c>
      <c r="J305">
        <v>25.2</v>
      </c>
      <c r="K305">
        <v>171.2</v>
      </c>
      <c r="L305">
        <v>32</v>
      </c>
      <c r="M305">
        <v>9.9412731062620593E-2</v>
      </c>
      <c r="N305">
        <v>2304.5273400000001</v>
      </c>
      <c r="O305">
        <v>2254.4489080622361</v>
      </c>
      <c r="P305">
        <v>1600.9662723056031</v>
      </c>
      <c r="Q305">
        <v>1676.5490090633909</v>
      </c>
      <c r="R305">
        <v>1678.1284443361831</v>
      </c>
      <c r="S305">
        <f t="shared" si="4"/>
        <v>-1.579435272792125</v>
      </c>
      <c r="T305">
        <v>0</v>
      </c>
      <c r="U305">
        <v>784</v>
      </c>
      <c r="V305">
        <v>8</v>
      </c>
      <c r="X305">
        <v>4.2</v>
      </c>
      <c r="Y305">
        <v>0.15</v>
      </c>
      <c r="Z305">
        <v>634.44522751661236</v>
      </c>
      <c r="AA305">
        <v>2356.9436850261491</v>
      </c>
      <c r="AD305" t="s">
        <v>590</v>
      </c>
      <c r="AE305" t="s">
        <v>590</v>
      </c>
      <c r="AG305">
        <v>1634.6146000000001</v>
      </c>
      <c r="AH305">
        <v>1634.6146000000001</v>
      </c>
      <c r="AM305">
        <v>71.013641807552872</v>
      </c>
      <c r="AN305">
        <v>0.65537775392661834</v>
      </c>
    </row>
    <row r="306" spans="2:40" x14ac:dyDescent="0.3">
      <c r="B306" t="s">
        <v>591</v>
      </c>
      <c r="C306" s="2">
        <v>45973</v>
      </c>
      <c r="D306" t="s">
        <v>580</v>
      </c>
      <c r="E306">
        <v>7</v>
      </c>
      <c r="F306">
        <v>1</v>
      </c>
      <c r="G306">
        <v>421</v>
      </c>
      <c r="J306">
        <v>25.2</v>
      </c>
      <c r="K306">
        <v>170.8</v>
      </c>
      <c r="L306">
        <v>32</v>
      </c>
      <c r="M306">
        <v>9.9412731062620593E-2</v>
      </c>
      <c r="N306">
        <v>2304.5273400000001</v>
      </c>
      <c r="O306">
        <v>2254.4489080622361</v>
      </c>
      <c r="P306">
        <v>1586.628124497907</v>
      </c>
      <c r="Q306">
        <v>1665.5669700790311</v>
      </c>
      <c r="R306">
        <v>1667.218584258713</v>
      </c>
      <c r="S306">
        <f t="shared" si="4"/>
        <v>-1.6516141796819284</v>
      </c>
      <c r="T306">
        <v>8.3330000000000001E-2</v>
      </c>
      <c r="V306">
        <v>8</v>
      </c>
      <c r="X306">
        <v>4.2</v>
      </c>
      <c r="Y306">
        <v>0.15</v>
      </c>
      <c r="Z306">
        <v>634.0886349887154</v>
      </c>
      <c r="AA306">
        <v>2346.587393269021</v>
      </c>
      <c r="AD306" t="s">
        <v>592</v>
      </c>
      <c r="AE306" t="s">
        <v>592</v>
      </c>
      <c r="AG306">
        <v>1619.9751000000001</v>
      </c>
      <c r="AH306">
        <v>1619.9751000000001</v>
      </c>
      <c r="AM306">
        <v>70.377648338975206</v>
      </c>
      <c r="AN306">
        <v>0.65537775392661834</v>
      </c>
    </row>
    <row r="307" spans="2:40" x14ac:dyDescent="0.3">
      <c r="B307" t="s">
        <v>593</v>
      </c>
      <c r="C307" s="2">
        <v>45973</v>
      </c>
      <c r="D307" t="s">
        <v>580</v>
      </c>
      <c r="E307">
        <v>8</v>
      </c>
      <c r="F307">
        <v>1</v>
      </c>
      <c r="G307">
        <v>422</v>
      </c>
      <c r="J307">
        <v>25.2</v>
      </c>
      <c r="K307">
        <v>170.8</v>
      </c>
      <c r="L307">
        <v>32</v>
      </c>
      <c r="M307">
        <v>9.9412731062620593E-2</v>
      </c>
      <c r="N307">
        <v>2304.5273400000001</v>
      </c>
      <c r="O307">
        <v>2254.4489080622361</v>
      </c>
      <c r="P307">
        <v>1563.39943378167</v>
      </c>
      <c r="Q307">
        <v>1641.1717287585259</v>
      </c>
      <c r="R307">
        <v>1642.79893554404</v>
      </c>
      <c r="S307">
        <f t="shared" si="4"/>
        <v>-1.6272067855140904</v>
      </c>
      <c r="T307">
        <v>8.3330000000000001E-2</v>
      </c>
      <c r="U307">
        <v>794</v>
      </c>
      <c r="V307">
        <v>8</v>
      </c>
      <c r="X307">
        <v>4.2</v>
      </c>
      <c r="Y307">
        <v>0.15</v>
      </c>
      <c r="Z307">
        <v>634.05569746484559</v>
      </c>
      <c r="AA307">
        <v>2357.610473090941</v>
      </c>
      <c r="AD307" t="s">
        <v>594</v>
      </c>
      <c r="AE307" t="s">
        <v>594</v>
      </c>
      <c r="AG307">
        <v>1596.2582</v>
      </c>
      <c r="AH307">
        <v>1596.2582</v>
      </c>
      <c r="AM307">
        <v>69.347299386148293</v>
      </c>
      <c r="AN307">
        <v>0.65537775392661834</v>
      </c>
    </row>
    <row r="308" spans="2:40" x14ac:dyDescent="0.3">
      <c r="B308" t="s">
        <v>595</v>
      </c>
      <c r="C308" s="2">
        <v>45973</v>
      </c>
      <c r="D308" t="s">
        <v>580</v>
      </c>
      <c r="E308">
        <v>9</v>
      </c>
      <c r="F308">
        <v>1</v>
      </c>
      <c r="G308">
        <v>423</v>
      </c>
      <c r="J308">
        <v>25.2</v>
      </c>
      <c r="K308">
        <v>170.8</v>
      </c>
      <c r="L308">
        <v>32</v>
      </c>
      <c r="M308">
        <v>9.9412731062620593E-2</v>
      </c>
      <c r="N308">
        <v>2304.5273400000001</v>
      </c>
      <c r="O308">
        <v>2254.4489080622361</v>
      </c>
      <c r="P308">
        <v>1574.9380213794191</v>
      </c>
      <c r="Q308">
        <v>1649.280500000239</v>
      </c>
      <c r="R308">
        <v>1650.8340178806079</v>
      </c>
      <c r="S308">
        <f t="shared" si="4"/>
        <v>-1.5535178803688723</v>
      </c>
      <c r="T308">
        <v>0</v>
      </c>
      <c r="U308">
        <v>797</v>
      </c>
      <c r="V308">
        <v>8</v>
      </c>
      <c r="X308">
        <v>4.2</v>
      </c>
      <c r="Y308">
        <v>0.15</v>
      </c>
      <c r="Z308">
        <v>633.91667535379793</v>
      </c>
      <c r="AA308">
        <v>2357.5520451629081</v>
      </c>
      <c r="AD308" t="s">
        <v>596</v>
      </c>
      <c r="AE308" t="s">
        <v>596</v>
      </c>
      <c r="AG308">
        <v>1608.0392999999999</v>
      </c>
      <c r="AH308">
        <v>1608.0392999999999</v>
      </c>
      <c r="AM308">
        <v>69.859113495418427</v>
      </c>
      <c r="AN308">
        <v>0.65537775392661834</v>
      </c>
    </row>
    <row r="309" spans="2:40" x14ac:dyDescent="0.3">
      <c r="B309" t="s">
        <v>597</v>
      </c>
      <c r="C309" s="2">
        <v>45973</v>
      </c>
      <c r="D309" t="s">
        <v>580</v>
      </c>
      <c r="E309">
        <v>10</v>
      </c>
      <c r="F309">
        <v>1</v>
      </c>
      <c r="G309">
        <v>424</v>
      </c>
      <c r="J309">
        <v>25.2</v>
      </c>
      <c r="K309">
        <v>170.7</v>
      </c>
      <c r="L309">
        <v>32</v>
      </c>
      <c r="M309">
        <v>9.9412731062620593E-2</v>
      </c>
      <c r="N309">
        <v>2304.5273400000001</v>
      </c>
      <c r="O309">
        <v>2254.4489080622361</v>
      </c>
      <c r="P309">
        <v>1639.742100867024</v>
      </c>
      <c r="Q309">
        <v>1717.1725237035801</v>
      </c>
      <c r="R309">
        <v>1718.7905696524469</v>
      </c>
      <c r="S309">
        <f t="shared" si="4"/>
        <v>-1.618045948866893</v>
      </c>
      <c r="T309">
        <v>0</v>
      </c>
      <c r="U309">
        <v>689</v>
      </c>
      <c r="V309">
        <v>6</v>
      </c>
      <c r="X309">
        <v>4.2</v>
      </c>
      <c r="Y309">
        <v>0.15</v>
      </c>
      <c r="Z309">
        <v>633.82115014060378</v>
      </c>
      <c r="AA309">
        <v>2355.410103543416</v>
      </c>
      <c r="AD309" t="s">
        <v>598</v>
      </c>
      <c r="AE309" t="s">
        <v>598</v>
      </c>
      <c r="AG309">
        <v>1674.2054000000001</v>
      </c>
      <c r="AH309">
        <v>1674.2054000000001</v>
      </c>
      <c r="AM309">
        <v>72.733611083536587</v>
      </c>
      <c r="AN309">
        <v>0.65537775392661834</v>
      </c>
    </row>
    <row r="310" spans="2:40" x14ac:dyDescent="0.3">
      <c r="B310" t="s">
        <v>599</v>
      </c>
      <c r="C310" s="2">
        <v>45973</v>
      </c>
      <c r="D310" t="s">
        <v>580</v>
      </c>
      <c r="E310">
        <v>11</v>
      </c>
      <c r="F310">
        <v>1</v>
      </c>
      <c r="G310">
        <v>425</v>
      </c>
      <c r="J310">
        <v>25.2</v>
      </c>
      <c r="K310">
        <v>170.6</v>
      </c>
      <c r="L310">
        <v>32</v>
      </c>
      <c r="M310">
        <v>9.9412731062620593E-2</v>
      </c>
      <c r="N310">
        <v>2304.5273400000001</v>
      </c>
      <c r="O310">
        <v>2254.4489080622361</v>
      </c>
      <c r="P310">
        <v>1629.485567675524</v>
      </c>
      <c r="Q310">
        <v>1706.427261984607</v>
      </c>
      <c r="R310">
        <v>1708.0350950845061</v>
      </c>
      <c r="S310">
        <f t="shared" si="4"/>
        <v>-1.6078330998991532</v>
      </c>
      <c r="T310">
        <v>0</v>
      </c>
      <c r="U310">
        <v>715</v>
      </c>
      <c r="V310">
        <v>6</v>
      </c>
      <c r="X310">
        <v>4.2</v>
      </c>
      <c r="Y310">
        <v>0.15</v>
      </c>
      <c r="Z310">
        <v>633.76414817326827</v>
      </c>
      <c r="AA310">
        <v>2344.662446452814</v>
      </c>
      <c r="AD310" t="s">
        <v>600</v>
      </c>
      <c r="AE310" t="s">
        <v>600</v>
      </c>
      <c r="AG310">
        <v>1663.7333000000001</v>
      </c>
      <c r="AH310">
        <v>1663.7333000000001</v>
      </c>
      <c r="AM310">
        <v>72.278664725922482</v>
      </c>
      <c r="AN310">
        <v>0.65537775392661834</v>
      </c>
    </row>
    <row r="311" spans="2:40" x14ac:dyDescent="0.3">
      <c r="B311" t="s">
        <v>601</v>
      </c>
      <c r="C311" s="2">
        <v>45973</v>
      </c>
      <c r="D311" t="s">
        <v>580</v>
      </c>
      <c r="E311">
        <v>12</v>
      </c>
      <c r="F311">
        <v>1</v>
      </c>
      <c r="G311">
        <v>426</v>
      </c>
      <c r="J311">
        <v>25.2</v>
      </c>
      <c r="K311">
        <v>170.1</v>
      </c>
      <c r="L311">
        <v>32</v>
      </c>
      <c r="M311">
        <v>9.9412731062620593E-2</v>
      </c>
      <c r="N311">
        <v>2304.5273400000001</v>
      </c>
      <c r="O311">
        <v>2254.4489080622361</v>
      </c>
      <c r="P311">
        <v>1607.890345514475</v>
      </c>
      <c r="Q311">
        <v>1683.803017547692</v>
      </c>
      <c r="R311">
        <v>1685.3893474029519</v>
      </c>
      <c r="S311">
        <f t="shared" si="4"/>
        <v>-1.586329855259919</v>
      </c>
      <c r="T311">
        <v>0</v>
      </c>
      <c r="U311">
        <v>695</v>
      </c>
      <c r="V311">
        <v>6</v>
      </c>
      <c r="X311">
        <v>4.2</v>
      </c>
      <c r="Y311">
        <v>0.15</v>
      </c>
      <c r="Z311">
        <v>633.64144673977194</v>
      </c>
      <c r="AA311">
        <v>2295.727064063944</v>
      </c>
      <c r="AD311" t="s">
        <v>602</v>
      </c>
      <c r="AE311" t="s">
        <v>602</v>
      </c>
      <c r="AG311">
        <v>1641.6841999999999</v>
      </c>
      <c r="AH311">
        <v>1641.6841999999999</v>
      </c>
      <c r="AM311">
        <v>71.320771110155832</v>
      </c>
      <c r="AN311">
        <v>0.65537775392661834</v>
      </c>
    </row>
    <row r="312" spans="2:40" x14ac:dyDescent="0.3">
      <c r="B312" t="s">
        <v>603</v>
      </c>
      <c r="C312" s="2">
        <v>45973</v>
      </c>
      <c r="D312" t="s">
        <v>580</v>
      </c>
      <c r="E312">
        <v>13</v>
      </c>
      <c r="F312">
        <v>1</v>
      </c>
      <c r="J312">
        <v>25.2</v>
      </c>
      <c r="K312">
        <v>170.35</v>
      </c>
      <c r="L312">
        <v>32</v>
      </c>
      <c r="M312">
        <v>9.9412731062620593E-2</v>
      </c>
      <c r="N312">
        <v>2304.5273400000001</v>
      </c>
      <c r="O312">
        <v>2254.4489080622361</v>
      </c>
      <c r="S312">
        <f t="shared" si="4"/>
        <v>0</v>
      </c>
      <c r="T312">
        <v>0</v>
      </c>
      <c r="V312">
        <v>10</v>
      </c>
      <c r="X312">
        <v>4.2</v>
      </c>
      <c r="Y312">
        <v>0.15</v>
      </c>
      <c r="Z312">
        <v>633.6868875920585</v>
      </c>
      <c r="AA312">
        <v>2345.4942084390459</v>
      </c>
    </row>
    <row r="313" spans="2:40" x14ac:dyDescent="0.3">
      <c r="B313" t="s">
        <v>604</v>
      </c>
      <c r="C313" s="2">
        <v>45973</v>
      </c>
      <c r="D313" t="s">
        <v>580</v>
      </c>
      <c r="E313">
        <v>14</v>
      </c>
      <c r="F313">
        <v>1</v>
      </c>
      <c r="G313">
        <v>429</v>
      </c>
      <c r="J313">
        <v>25.2</v>
      </c>
      <c r="K313">
        <v>170.4</v>
      </c>
      <c r="L313">
        <v>32</v>
      </c>
      <c r="M313">
        <v>9.9412731062620593E-2</v>
      </c>
      <c r="N313">
        <v>2304.5273400000001</v>
      </c>
      <c r="O313">
        <v>2254.4489080622361</v>
      </c>
      <c r="P313">
        <v>1546.75750570325</v>
      </c>
      <c r="Q313">
        <v>1619.7571697811161</v>
      </c>
      <c r="R313">
        <v>1621.2826271711549</v>
      </c>
      <c r="S313">
        <f t="shared" si="4"/>
        <v>-1.5254573900388095</v>
      </c>
      <c r="T313">
        <v>0</v>
      </c>
      <c r="U313">
        <v>887</v>
      </c>
      <c r="V313">
        <v>10</v>
      </c>
      <c r="X313">
        <v>4.2</v>
      </c>
      <c r="Y313">
        <v>0.15</v>
      </c>
      <c r="Z313">
        <v>633.64949608692541</v>
      </c>
      <c r="AA313">
        <v>2355.9881789449701</v>
      </c>
      <c r="AD313" t="s">
        <v>605</v>
      </c>
      <c r="AE313" t="s">
        <v>605</v>
      </c>
      <c r="AG313">
        <v>1579.2665</v>
      </c>
      <c r="AH313">
        <v>1579.2665</v>
      </c>
      <c r="AM313">
        <v>68.609117739232019</v>
      </c>
      <c r="AN313">
        <v>0.65537775392661834</v>
      </c>
    </row>
    <row r="314" spans="2:40" x14ac:dyDescent="0.3">
      <c r="B314" t="s">
        <v>606</v>
      </c>
      <c r="C314" s="2">
        <v>45973</v>
      </c>
      <c r="D314" t="s">
        <v>580</v>
      </c>
      <c r="E314">
        <v>15</v>
      </c>
      <c r="F314">
        <v>1</v>
      </c>
      <c r="G314">
        <v>430</v>
      </c>
      <c r="J314">
        <v>25.2</v>
      </c>
      <c r="K314">
        <v>170.45</v>
      </c>
      <c r="L314">
        <v>32</v>
      </c>
      <c r="M314">
        <v>9.9412731062620593E-2</v>
      </c>
      <c r="N314">
        <v>2304.5273400000001</v>
      </c>
      <c r="O314">
        <v>2254.4489080622361</v>
      </c>
      <c r="P314">
        <v>1767.9260923005029</v>
      </c>
      <c r="Q314">
        <v>1851.4645413296489</v>
      </c>
      <c r="R314">
        <v>1853.210225313728</v>
      </c>
      <c r="S314">
        <f t="shared" si="4"/>
        <v>-1.7456839840790508</v>
      </c>
      <c r="T314">
        <v>0</v>
      </c>
      <c r="U314">
        <v>492</v>
      </c>
      <c r="V314">
        <v>2</v>
      </c>
      <c r="X314">
        <v>4.2</v>
      </c>
      <c r="Y314">
        <v>0.15</v>
      </c>
      <c r="Z314">
        <v>633.53859425015003</v>
      </c>
      <c r="AA314">
        <v>2356.9846786393018</v>
      </c>
      <c r="AD314" t="s">
        <v>607</v>
      </c>
      <c r="AE314" t="s">
        <v>607</v>
      </c>
      <c r="AG314">
        <v>1805.0835</v>
      </c>
      <c r="AH314">
        <v>1805.0835</v>
      </c>
      <c r="AM314">
        <v>78.419434832971504</v>
      </c>
      <c r="AN314">
        <v>0.65537775392661834</v>
      </c>
    </row>
    <row r="315" spans="2:40" x14ac:dyDescent="0.3">
      <c r="B315" t="s">
        <v>608</v>
      </c>
      <c r="C315" s="2">
        <v>45973</v>
      </c>
      <c r="D315" t="s">
        <v>580</v>
      </c>
      <c r="E315">
        <v>16</v>
      </c>
      <c r="F315">
        <v>1</v>
      </c>
      <c r="G315">
        <v>431</v>
      </c>
      <c r="J315">
        <v>25.2</v>
      </c>
      <c r="K315">
        <v>170.4</v>
      </c>
      <c r="L315">
        <v>32</v>
      </c>
      <c r="M315">
        <v>9.9412731062620593E-2</v>
      </c>
      <c r="N315">
        <v>2304.5273400000001</v>
      </c>
      <c r="O315">
        <v>2254.4489080622361</v>
      </c>
      <c r="P315">
        <v>1704.6832984729449</v>
      </c>
      <c r="Q315">
        <v>1785.2081992666881</v>
      </c>
      <c r="R315">
        <v>1786.890909818163</v>
      </c>
      <c r="S315">
        <f t="shared" si="4"/>
        <v>-1.6827105514748837</v>
      </c>
      <c r="T315">
        <v>0</v>
      </c>
      <c r="U315">
        <v>590</v>
      </c>
      <c r="V315">
        <v>4</v>
      </c>
      <c r="X315">
        <v>4.2</v>
      </c>
      <c r="Y315">
        <v>0.15</v>
      </c>
      <c r="Z315">
        <v>633.47799944896258</v>
      </c>
      <c r="AA315">
        <v>2356.5703209033022</v>
      </c>
      <c r="AD315" t="s">
        <v>609</v>
      </c>
      <c r="AE315" t="s">
        <v>609</v>
      </c>
      <c r="AG315">
        <v>1740.5115000000001</v>
      </c>
      <c r="AH315">
        <v>1740.5115000000001</v>
      </c>
      <c r="AM315">
        <v>75.614190784131338</v>
      </c>
      <c r="AN315">
        <v>0.65537775392661834</v>
      </c>
    </row>
    <row r="316" spans="2:40" x14ac:dyDescent="0.3">
      <c r="B316" t="s">
        <v>610</v>
      </c>
      <c r="C316" s="2">
        <v>45974</v>
      </c>
      <c r="D316" t="s">
        <v>580</v>
      </c>
      <c r="E316">
        <v>1</v>
      </c>
      <c r="G316">
        <v>433</v>
      </c>
      <c r="J316">
        <v>25.1</v>
      </c>
      <c r="K316">
        <v>170.15</v>
      </c>
      <c r="L316">
        <v>32</v>
      </c>
      <c r="M316">
        <v>9.9412731062620593E-2</v>
      </c>
      <c r="N316">
        <v>2314.0488500000001</v>
      </c>
      <c r="O316">
        <v>2263.763511299966</v>
      </c>
      <c r="P316">
        <v>1694.5700182475221</v>
      </c>
      <c r="Q316">
        <v>1774.6091137607641</v>
      </c>
      <c r="R316">
        <v>1776.2816725496989</v>
      </c>
      <c r="S316">
        <f t="shared" si="4"/>
        <v>-1.6725587889347935</v>
      </c>
      <c r="T316">
        <v>0</v>
      </c>
      <c r="U316">
        <v>604</v>
      </c>
      <c r="V316">
        <v>4</v>
      </c>
      <c r="X316">
        <v>4.2</v>
      </c>
      <c r="Y316">
        <v>0.15</v>
      </c>
      <c r="Z316">
        <v>633.48625958417517</v>
      </c>
      <c r="AA316">
        <v>2343.998641617346</v>
      </c>
      <c r="AD316" t="s">
        <v>611</v>
      </c>
      <c r="AE316" t="s">
        <v>611</v>
      </c>
      <c r="AG316">
        <v>1730.2366999999999</v>
      </c>
      <c r="AH316">
        <v>1730.2366999999999</v>
      </c>
      <c r="AM316">
        <v>74.856318241228976</v>
      </c>
      <c r="AN316">
        <v>0.65629920226120153</v>
      </c>
    </row>
    <row r="317" spans="2:40" x14ac:dyDescent="0.3">
      <c r="B317" t="s">
        <v>612</v>
      </c>
      <c r="C317" s="2">
        <v>45974</v>
      </c>
      <c r="D317" t="s">
        <v>580</v>
      </c>
      <c r="E317">
        <v>2</v>
      </c>
      <c r="F317">
        <v>1</v>
      </c>
      <c r="G317">
        <v>435</v>
      </c>
      <c r="J317">
        <v>25.2</v>
      </c>
      <c r="K317">
        <v>170</v>
      </c>
      <c r="L317">
        <v>32</v>
      </c>
      <c r="M317">
        <v>9.9412731062620593E-2</v>
      </c>
      <c r="N317">
        <v>2314.0488500000001</v>
      </c>
      <c r="O317">
        <v>2263.763511299966</v>
      </c>
      <c r="P317">
        <v>1724.9937238653779</v>
      </c>
      <c r="Q317">
        <v>1806.4825229547951</v>
      </c>
      <c r="R317">
        <v>1808.1853758698951</v>
      </c>
      <c r="S317">
        <f t="shared" si="4"/>
        <v>-1.7028529151000384</v>
      </c>
      <c r="T317">
        <v>0</v>
      </c>
      <c r="U317">
        <v>607</v>
      </c>
      <c r="V317">
        <v>4</v>
      </c>
      <c r="W317">
        <v>1</v>
      </c>
      <c r="X317">
        <v>4.2</v>
      </c>
      <c r="Y317">
        <v>0.15</v>
      </c>
      <c r="Z317">
        <v>633.66139586448355</v>
      </c>
      <c r="AA317">
        <v>2352.5398655158729</v>
      </c>
      <c r="AB317">
        <v>2355.4760000000001</v>
      </c>
      <c r="AC317">
        <v>4.1529999999999996</v>
      </c>
      <c r="AD317" t="s">
        <v>613</v>
      </c>
      <c r="AE317" t="s">
        <v>613</v>
      </c>
      <c r="AG317">
        <v>1761.2488000000001</v>
      </c>
      <c r="AH317">
        <v>1761.2488000000001</v>
      </c>
      <c r="AM317">
        <v>76.200261876064971</v>
      </c>
      <c r="AN317">
        <v>0.65629920226120153</v>
      </c>
    </row>
    <row r="318" spans="2:40" x14ac:dyDescent="0.3">
      <c r="B318" t="s">
        <v>614</v>
      </c>
      <c r="C318" s="2">
        <v>45974</v>
      </c>
      <c r="D318" t="s">
        <v>580</v>
      </c>
      <c r="E318">
        <v>3</v>
      </c>
      <c r="F318">
        <v>1</v>
      </c>
      <c r="G318">
        <v>436</v>
      </c>
      <c r="J318">
        <v>25.2</v>
      </c>
      <c r="K318">
        <v>170</v>
      </c>
      <c r="L318">
        <v>32</v>
      </c>
      <c r="M318">
        <v>9.9412731062620593E-2</v>
      </c>
      <c r="N318">
        <v>2314.0488500000001</v>
      </c>
      <c r="O318">
        <v>2263.763511299966</v>
      </c>
      <c r="P318">
        <v>2165.2488563747788</v>
      </c>
      <c r="Q318">
        <v>2200.438006317926</v>
      </c>
      <c r="R318">
        <v>2201.1733459870611</v>
      </c>
      <c r="S318">
        <f t="shared" si="4"/>
        <v>-0.73533966913510085</v>
      </c>
      <c r="T318">
        <v>0</v>
      </c>
      <c r="U318">
        <v>180</v>
      </c>
      <c r="V318">
        <v>4</v>
      </c>
      <c r="X318">
        <v>0.9</v>
      </c>
      <c r="Y318">
        <v>0.15</v>
      </c>
      <c r="Z318">
        <v>453.69128204544393</v>
      </c>
      <c r="AA318">
        <v>188.1975917813084</v>
      </c>
      <c r="AD318" t="s">
        <v>615</v>
      </c>
      <c r="AE318" t="s">
        <v>615</v>
      </c>
      <c r="AG318">
        <v>2210.7570000000001</v>
      </c>
      <c r="AH318">
        <v>2210.7570000000001</v>
      </c>
      <c r="AM318">
        <v>95.648191410744346</v>
      </c>
      <c r="AN318">
        <v>63.026188638178859</v>
      </c>
    </row>
    <row r="319" spans="2:40" x14ac:dyDescent="0.3">
      <c r="B319" t="s">
        <v>616</v>
      </c>
      <c r="C319" s="2">
        <v>45974</v>
      </c>
      <c r="D319" t="s">
        <v>580</v>
      </c>
      <c r="E319">
        <v>4</v>
      </c>
      <c r="F319">
        <v>1</v>
      </c>
      <c r="G319">
        <v>437</v>
      </c>
      <c r="J319">
        <v>25.2</v>
      </c>
      <c r="K319">
        <v>169.9</v>
      </c>
      <c r="L319">
        <v>32</v>
      </c>
      <c r="M319">
        <v>9.9412731062620593E-2</v>
      </c>
      <c r="N319">
        <v>2314.0488500000001</v>
      </c>
      <c r="O319">
        <v>2263.763511299966</v>
      </c>
      <c r="P319">
        <v>1748.4243699815911</v>
      </c>
      <c r="Q319">
        <v>1831.0295929996639</v>
      </c>
      <c r="R319">
        <v>1832.7557755718781</v>
      </c>
      <c r="S319">
        <f t="shared" si="4"/>
        <v>-1.7261825722141566</v>
      </c>
      <c r="T319">
        <v>0</v>
      </c>
      <c r="U319">
        <v>581</v>
      </c>
      <c r="V319">
        <v>4</v>
      </c>
      <c r="X319">
        <v>4.05</v>
      </c>
      <c r="Y319">
        <v>0.15</v>
      </c>
      <c r="Z319">
        <v>633.66522811749314</v>
      </c>
      <c r="AA319">
        <v>2357.3152042975039</v>
      </c>
      <c r="AD319" t="s">
        <v>617</v>
      </c>
      <c r="AE319" t="s">
        <v>617</v>
      </c>
      <c r="AG319">
        <v>1785.1719000000001</v>
      </c>
      <c r="AH319">
        <v>1785.1719000000001</v>
      </c>
      <c r="AM319">
        <v>77.235292523005569</v>
      </c>
      <c r="AN319">
        <v>0.65635217697028425</v>
      </c>
    </row>
    <row r="320" spans="2:40" x14ac:dyDescent="0.3">
      <c r="B320" t="s">
        <v>618</v>
      </c>
      <c r="C320" s="2">
        <v>45974</v>
      </c>
      <c r="D320" t="s">
        <v>580</v>
      </c>
      <c r="E320">
        <v>5</v>
      </c>
      <c r="F320">
        <v>1</v>
      </c>
      <c r="G320">
        <v>438</v>
      </c>
      <c r="J320">
        <v>25.2</v>
      </c>
      <c r="K320">
        <v>170.05</v>
      </c>
      <c r="L320">
        <v>32</v>
      </c>
      <c r="M320">
        <v>9.9412731062620593E-2</v>
      </c>
      <c r="N320">
        <v>2314.0488500000001</v>
      </c>
      <c r="O320">
        <v>2263.763511299966</v>
      </c>
      <c r="P320">
        <v>1746.9972641944671</v>
      </c>
      <c r="Q320">
        <v>1829.534427821425</v>
      </c>
      <c r="R320">
        <v>1831.2591881720109</v>
      </c>
      <c r="S320">
        <f t="shared" si="4"/>
        <v>-1.7247603505859388</v>
      </c>
      <c r="T320">
        <v>0</v>
      </c>
      <c r="U320">
        <v>570</v>
      </c>
      <c r="V320">
        <v>4</v>
      </c>
      <c r="X320">
        <v>3.9</v>
      </c>
      <c r="Y320">
        <v>0.15</v>
      </c>
      <c r="Z320">
        <v>633.70252788422727</v>
      </c>
      <c r="AA320">
        <v>2356.4627641769912</v>
      </c>
      <c r="AD320" t="s">
        <v>619</v>
      </c>
      <c r="AE320" t="s">
        <v>619</v>
      </c>
      <c r="AG320">
        <v>1783.7148</v>
      </c>
      <c r="AH320">
        <v>1783.7148</v>
      </c>
      <c r="AM320">
        <v>77.172251230043628</v>
      </c>
      <c r="AN320">
        <v>0.65640515167936697</v>
      </c>
    </row>
    <row r="321" spans="2:40" x14ac:dyDescent="0.3">
      <c r="B321" t="s">
        <v>620</v>
      </c>
      <c r="C321" s="2">
        <v>45974</v>
      </c>
      <c r="D321" t="s">
        <v>580</v>
      </c>
      <c r="E321">
        <v>6</v>
      </c>
      <c r="F321">
        <v>1</v>
      </c>
      <c r="G321">
        <v>439</v>
      </c>
      <c r="J321">
        <v>25.2</v>
      </c>
      <c r="K321">
        <v>170</v>
      </c>
      <c r="L321">
        <v>32</v>
      </c>
      <c r="M321">
        <v>9.9412731062620593E-2</v>
      </c>
      <c r="N321">
        <v>2314.0488500000001</v>
      </c>
      <c r="O321">
        <v>2263.763511299966</v>
      </c>
      <c r="P321">
        <v>1774.1683946368089</v>
      </c>
      <c r="Q321">
        <v>1858.000205621011</v>
      </c>
      <c r="R321">
        <v>1859.7520199231949</v>
      </c>
      <c r="S321">
        <f t="shared" si="4"/>
        <v>-1.7518143021839023</v>
      </c>
      <c r="T321">
        <v>0</v>
      </c>
      <c r="U321">
        <v>540</v>
      </c>
      <c r="V321">
        <v>4</v>
      </c>
      <c r="X321">
        <v>3.75</v>
      </c>
      <c r="Y321">
        <v>0.15</v>
      </c>
      <c r="Z321">
        <v>633.76905763098387</v>
      </c>
      <c r="AA321">
        <v>2358.3523307633582</v>
      </c>
      <c r="AD321" t="s">
        <v>621</v>
      </c>
      <c r="AE321" t="s">
        <v>621</v>
      </c>
      <c r="AG321">
        <v>1811.4570000000001</v>
      </c>
      <c r="AH321">
        <v>1811.4570000000001</v>
      </c>
      <c r="AM321">
        <v>78.372514875371976</v>
      </c>
      <c r="AN321">
        <v>0.65646959510176428</v>
      </c>
    </row>
    <row r="322" spans="2:40" x14ac:dyDescent="0.3">
      <c r="B322" t="s">
        <v>622</v>
      </c>
      <c r="C322" s="2">
        <v>45974</v>
      </c>
      <c r="D322" t="s">
        <v>580</v>
      </c>
      <c r="E322">
        <v>7</v>
      </c>
      <c r="F322">
        <v>1</v>
      </c>
      <c r="G322">
        <v>440</v>
      </c>
      <c r="J322">
        <v>25.2</v>
      </c>
      <c r="K322">
        <v>170.05</v>
      </c>
      <c r="L322">
        <v>32</v>
      </c>
      <c r="M322">
        <v>9.9412731062620593E-2</v>
      </c>
      <c r="N322">
        <v>2314.0488500000001</v>
      </c>
      <c r="O322">
        <v>2263.763511299966</v>
      </c>
      <c r="P322">
        <v>1769.958966346042</v>
      </c>
      <c r="Q322">
        <v>1853.5901961346649</v>
      </c>
      <c r="R322">
        <v>1855.3378189371899</v>
      </c>
      <c r="S322">
        <f t="shared" si="4"/>
        <v>-1.7476228025250293</v>
      </c>
      <c r="T322">
        <v>0</v>
      </c>
      <c r="U322">
        <v>547</v>
      </c>
      <c r="V322">
        <v>4</v>
      </c>
      <c r="X322">
        <v>3.75</v>
      </c>
      <c r="Y322">
        <v>0.15</v>
      </c>
      <c r="Z322">
        <v>633.7546826569419</v>
      </c>
      <c r="AA322">
        <v>2356.4354604120008</v>
      </c>
      <c r="AD322" t="s">
        <v>623</v>
      </c>
      <c r="AE322" t="s">
        <v>623</v>
      </c>
      <c r="AG322">
        <v>1807.1591000000001</v>
      </c>
      <c r="AH322">
        <v>1807.1591000000001</v>
      </c>
      <c r="AM322">
        <v>78.186566640507564</v>
      </c>
      <c r="AN322">
        <v>0.65646959510176428</v>
      </c>
    </row>
    <row r="323" spans="2:40" x14ac:dyDescent="0.3">
      <c r="B323" t="s">
        <v>624</v>
      </c>
      <c r="C323" s="2">
        <v>45974</v>
      </c>
      <c r="D323" t="s">
        <v>580</v>
      </c>
      <c r="E323">
        <v>8</v>
      </c>
      <c r="F323">
        <v>1</v>
      </c>
      <c r="J323">
        <v>25.2</v>
      </c>
      <c r="K323">
        <v>170.1</v>
      </c>
      <c r="L323">
        <v>32</v>
      </c>
      <c r="M323">
        <v>9.9412731062620593E-2</v>
      </c>
      <c r="N323">
        <v>2314.0488500000001</v>
      </c>
      <c r="O323">
        <v>2263.763511299966</v>
      </c>
      <c r="S323">
        <f t="shared" ref="S323:S339" si="5">Q323-R323</f>
        <v>0</v>
      </c>
      <c r="V323">
        <v>4</v>
      </c>
      <c r="X323">
        <v>3.75</v>
      </c>
      <c r="Y323">
        <v>0.15</v>
      </c>
      <c r="Z323">
        <v>633.36030874382857</v>
      </c>
      <c r="AA323">
        <v>2336.8399095814539</v>
      </c>
    </row>
    <row r="324" spans="2:40" x14ac:dyDescent="0.3">
      <c r="B324" t="s">
        <v>625</v>
      </c>
      <c r="C324" s="2">
        <v>45974</v>
      </c>
      <c r="D324" t="s">
        <v>580</v>
      </c>
      <c r="E324">
        <v>9</v>
      </c>
      <c r="F324">
        <v>1</v>
      </c>
      <c r="G324">
        <v>442</v>
      </c>
      <c r="J324">
        <v>25.2</v>
      </c>
      <c r="K324">
        <v>170</v>
      </c>
      <c r="L324">
        <v>32</v>
      </c>
      <c r="M324">
        <v>9.9412731062620593E-2</v>
      </c>
      <c r="N324">
        <v>2314.0488500000001</v>
      </c>
      <c r="O324">
        <v>2263.763511299966</v>
      </c>
      <c r="P324">
        <v>1790.0259091369519</v>
      </c>
      <c r="Q324">
        <v>1874.6132516016669</v>
      </c>
      <c r="R324">
        <v>1876.380854073494</v>
      </c>
      <c r="S324">
        <f t="shared" si="5"/>
        <v>-1.7676024718271037</v>
      </c>
      <c r="T324">
        <v>0</v>
      </c>
      <c r="U324">
        <v>524</v>
      </c>
      <c r="V324">
        <v>4</v>
      </c>
      <c r="X324">
        <v>3.6</v>
      </c>
      <c r="Y324">
        <v>0.15</v>
      </c>
      <c r="Z324">
        <v>633.77492205116732</v>
      </c>
      <c r="AA324">
        <v>2356.136271872052</v>
      </c>
      <c r="AD324" t="s">
        <v>626</v>
      </c>
      <c r="AE324" t="s">
        <v>626</v>
      </c>
      <c r="AG324">
        <v>1827.6478</v>
      </c>
      <c r="AH324">
        <v>1827.6478</v>
      </c>
      <c r="AM324">
        <v>79.073008297983819</v>
      </c>
      <c r="AN324">
        <v>0.65654967746922188</v>
      </c>
    </row>
    <row r="325" spans="2:40" x14ac:dyDescent="0.3">
      <c r="B325" t="s">
        <v>627</v>
      </c>
      <c r="C325" s="2">
        <v>45974</v>
      </c>
      <c r="D325" t="s">
        <v>580</v>
      </c>
      <c r="E325">
        <v>10</v>
      </c>
      <c r="F325">
        <v>1</v>
      </c>
      <c r="G325">
        <v>443</v>
      </c>
      <c r="J325">
        <v>25.2</v>
      </c>
      <c r="K325">
        <v>170</v>
      </c>
      <c r="L325">
        <v>32</v>
      </c>
      <c r="M325">
        <v>9.9412731062620593E-2</v>
      </c>
      <c r="N325">
        <v>2314.0488500000001</v>
      </c>
      <c r="O325">
        <v>2263.763511299966</v>
      </c>
      <c r="P325">
        <v>1809.4325302466621</v>
      </c>
      <c r="Q325">
        <v>1894.9444969068411</v>
      </c>
      <c r="R325">
        <v>1896.731421040346</v>
      </c>
      <c r="S325">
        <f t="shared" si="5"/>
        <v>-1.7869241335049537</v>
      </c>
      <c r="T325">
        <v>0</v>
      </c>
      <c r="U325">
        <v>506</v>
      </c>
      <c r="V325">
        <v>4</v>
      </c>
      <c r="X325">
        <v>3.45</v>
      </c>
      <c r="Y325">
        <v>0.15</v>
      </c>
      <c r="Z325">
        <v>633.80062274278032</v>
      </c>
      <c r="AA325">
        <v>2354.5209682414661</v>
      </c>
      <c r="AD325" t="s">
        <v>628</v>
      </c>
      <c r="AE325" t="s">
        <v>628</v>
      </c>
      <c r="AG325">
        <v>1847.4622999999999</v>
      </c>
      <c r="AH325">
        <v>1847.4622999999999</v>
      </c>
      <c r="AM325">
        <v>79.930280756561686</v>
      </c>
      <c r="AN325">
        <v>0.65665186860007774</v>
      </c>
    </row>
    <row r="326" spans="2:40" x14ac:dyDescent="0.3">
      <c r="B326" t="s">
        <v>629</v>
      </c>
      <c r="C326" s="2">
        <v>45974</v>
      </c>
      <c r="D326" t="s">
        <v>580</v>
      </c>
      <c r="E326">
        <v>11</v>
      </c>
      <c r="F326">
        <v>1</v>
      </c>
      <c r="G326">
        <v>444</v>
      </c>
      <c r="J326">
        <v>25.2</v>
      </c>
      <c r="K326">
        <v>170.05</v>
      </c>
      <c r="L326">
        <v>32</v>
      </c>
      <c r="M326">
        <v>9.9412731062620593E-2</v>
      </c>
      <c r="N326">
        <v>2314.0488500000001</v>
      </c>
      <c r="O326">
        <v>2263.763511299966</v>
      </c>
      <c r="P326">
        <v>1826.0638806416689</v>
      </c>
      <c r="Q326">
        <v>1912.368193279769</v>
      </c>
      <c r="R326">
        <v>1914.1716748871031</v>
      </c>
      <c r="S326">
        <f t="shared" si="5"/>
        <v>-1.8034816073341062</v>
      </c>
      <c r="T326">
        <v>0</v>
      </c>
      <c r="U326">
        <v>479</v>
      </c>
      <c r="V326">
        <v>4</v>
      </c>
      <c r="X326">
        <v>3.3</v>
      </c>
      <c r="Y326">
        <v>0.15</v>
      </c>
      <c r="Z326">
        <v>633.80570596657867</v>
      </c>
      <c r="AA326">
        <v>2357.695058346676</v>
      </c>
      <c r="AD326" t="s">
        <v>630</v>
      </c>
      <c r="AE326" t="s">
        <v>630</v>
      </c>
      <c r="AG326">
        <v>1864.4431999999999</v>
      </c>
      <c r="AH326">
        <v>1864.4431999999999</v>
      </c>
      <c r="AM326">
        <v>80.664957780552427</v>
      </c>
      <c r="AN326">
        <v>0.65678677576413902</v>
      </c>
    </row>
    <row r="327" spans="2:40" x14ac:dyDescent="0.3">
      <c r="B327" t="s">
        <v>631</v>
      </c>
      <c r="C327" s="2">
        <v>45974</v>
      </c>
      <c r="D327" t="s">
        <v>580</v>
      </c>
      <c r="E327">
        <v>12</v>
      </c>
      <c r="F327">
        <v>1</v>
      </c>
      <c r="G327">
        <v>445</v>
      </c>
      <c r="J327">
        <v>25.2</v>
      </c>
      <c r="K327">
        <v>170.1</v>
      </c>
      <c r="L327">
        <v>32</v>
      </c>
      <c r="M327">
        <v>9.9412731062620593E-2</v>
      </c>
      <c r="N327">
        <v>2314.0488500000001</v>
      </c>
      <c r="O327">
        <v>2263.763511299966</v>
      </c>
      <c r="P327">
        <v>1849.042918441058</v>
      </c>
      <c r="Q327">
        <v>1936.4419918417859</v>
      </c>
      <c r="R327">
        <v>1938.268350415977</v>
      </c>
      <c r="S327">
        <f t="shared" si="5"/>
        <v>-1.8263585741910902</v>
      </c>
      <c r="T327">
        <v>0</v>
      </c>
      <c r="U327">
        <v>460</v>
      </c>
      <c r="V327">
        <v>4</v>
      </c>
      <c r="X327">
        <v>3.15</v>
      </c>
      <c r="Y327">
        <v>0.15</v>
      </c>
      <c r="Z327">
        <v>633.82745332647141</v>
      </c>
      <c r="AA327">
        <v>2359.6896301390339</v>
      </c>
      <c r="AD327" t="s">
        <v>632</v>
      </c>
      <c r="AE327" t="s">
        <v>632</v>
      </c>
      <c r="AG327">
        <v>1887.9051999999999</v>
      </c>
      <c r="AH327">
        <v>1887.9051999999999</v>
      </c>
      <c r="AM327">
        <v>81.680038979833412</v>
      </c>
      <c r="AN327">
        <v>0.65697308012865918</v>
      </c>
    </row>
    <row r="328" spans="2:40" x14ac:dyDescent="0.3">
      <c r="B328" t="s">
        <v>633</v>
      </c>
      <c r="C328" s="2">
        <v>45974</v>
      </c>
      <c r="D328" t="s">
        <v>580</v>
      </c>
      <c r="E328">
        <v>13</v>
      </c>
      <c r="F328">
        <v>1</v>
      </c>
      <c r="G328">
        <v>446</v>
      </c>
      <c r="J328">
        <v>25.2</v>
      </c>
      <c r="K328">
        <v>170.05</v>
      </c>
      <c r="L328">
        <v>32</v>
      </c>
      <c r="M328">
        <v>9.9412731062620593E-2</v>
      </c>
      <c r="N328">
        <v>2314.0488500000001</v>
      </c>
      <c r="O328">
        <v>2263.763511299966</v>
      </c>
      <c r="P328">
        <v>1877.3881717422321</v>
      </c>
      <c r="Q328">
        <v>1966.1376140100101</v>
      </c>
      <c r="R328">
        <v>1967.992190935526</v>
      </c>
      <c r="S328">
        <f t="shared" si="5"/>
        <v>-1.8545769255158575</v>
      </c>
      <c r="T328">
        <v>0</v>
      </c>
      <c r="U328">
        <v>435</v>
      </c>
      <c r="V328">
        <v>4</v>
      </c>
      <c r="X328">
        <v>3</v>
      </c>
      <c r="Y328">
        <v>0.15</v>
      </c>
      <c r="Z328">
        <v>634.00980229295089</v>
      </c>
      <c r="AA328">
        <v>2358.8667640589329</v>
      </c>
      <c r="AD328" t="s">
        <v>634</v>
      </c>
      <c r="AE328" t="s">
        <v>634</v>
      </c>
      <c r="AG328">
        <v>1916.8462</v>
      </c>
      <c r="AH328">
        <v>1916.8462</v>
      </c>
      <c r="AM328">
        <v>82.93216859318234</v>
      </c>
      <c r="AN328">
        <v>0.65724702216839626</v>
      </c>
    </row>
    <row r="329" spans="2:40" x14ac:dyDescent="0.3">
      <c r="B329" t="s">
        <v>635</v>
      </c>
      <c r="C329" s="2">
        <v>45974</v>
      </c>
      <c r="D329" t="s">
        <v>580</v>
      </c>
      <c r="E329">
        <v>14</v>
      </c>
      <c r="F329">
        <v>1</v>
      </c>
      <c r="G329">
        <v>447</v>
      </c>
      <c r="J329">
        <v>25.2</v>
      </c>
      <c r="K329">
        <v>170</v>
      </c>
      <c r="L329">
        <v>32</v>
      </c>
      <c r="M329">
        <v>9.9412731062620593E-2</v>
      </c>
      <c r="N329">
        <v>2314.0488500000001</v>
      </c>
      <c r="O329">
        <v>2263.763511299966</v>
      </c>
      <c r="P329">
        <v>1894.21050808775</v>
      </c>
      <c r="Q329">
        <v>1983.761065272475</v>
      </c>
      <c r="R329">
        <v>1985.632382914345</v>
      </c>
      <c r="S329">
        <f t="shared" si="5"/>
        <v>-1.8713176418700641</v>
      </c>
      <c r="T329">
        <v>0</v>
      </c>
      <c r="U329">
        <v>421</v>
      </c>
      <c r="V329">
        <v>4</v>
      </c>
      <c r="X329">
        <v>2.85</v>
      </c>
      <c r="Y329">
        <v>0.15</v>
      </c>
      <c r="Z329">
        <v>634.22949469429045</v>
      </c>
      <c r="AA329">
        <v>2362.8724585639079</v>
      </c>
      <c r="AD329" t="s">
        <v>636</v>
      </c>
      <c r="AE329" t="s">
        <v>636</v>
      </c>
      <c r="AG329">
        <v>1934.0220999999999</v>
      </c>
      <c r="AH329">
        <v>1934.0220999999999</v>
      </c>
      <c r="AM329">
        <v>83.675282273632888</v>
      </c>
      <c r="AN329">
        <v>0.65768936545967838</v>
      </c>
    </row>
    <row r="330" spans="2:40" x14ac:dyDescent="0.3">
      <c r="B330" t="s">
        <v>637</v>
      </c>
      <c r="C330" s="2">
        <v>45974</v>
      </c>
      <c r="D330" t="s">
        <v>580</v>
      </c>
      <c r="E330">
        <v>15</v>
      </c>
      <c r="F330">
        <v>1</v>
      </c>
      <c r="J330">
        <v>25.2</v>
      </c>
      <c r="K330">
        <v>170.05</v>
      </c>
      <c r="L330">
        <v>32</v>
      </c>
      <c r="M330">
        <v>9.9412731062620593E-2</v>
      </c>
      <c r="N330">
        <v>2314.0488500000001</v>
      </c>
      <c r="O330">
        <v>2263.763511299966</v>
      </c>
      <c r="S330">
        <f t="shared" si="5"/>
        <v>0</v>
      </c>
      <c r="V330">
        <v>4</v>
      </c>
      <c r="X330">
        <v>2.5499999999999998</v>
      </c>
      <c r="Y330">
        <v>0.15</v>
      </c>
      <c r="Z330">
        <v>596.07223045551177</v>
      </c>
      <c r="AA330">
        <v>2077.6714703632938</v>
      </c>
    </row>
    <row r="331" spans="2:40" x14ac:dyDescent="0.3">
      <c r="B331" t="s">
        <v>638</v>
      </c>
      <c r="C331" s="2">
        <v>45974</v>
      </c>
      <c r="D331" t="s">
        <v>580</v>
      </c>
      <c r="E331">
        <v>16</v>
      </c>
      <c r="F331">
        <v>1</v>
      </c>
      <c r="G331">
        <v>448</v>
      </c>
      <c r="J331">
        <v>25.2</v>
      </c>
      <c r="K331">
        <v>170</v>
      </c>
      <c r="L331">
        <v>32</v>
      </c>
      <c r="M331">
        <v>9.9412731062620593E-2</v>
      </c>
      <c r="N331">
        <v>2314.0488500000001</v>
      </c>
      <c r="O331">
        <v>2263.763511299966</v>
      </c>
      <c r="P331">
        <v>2212.639032777849</v>
      </c>
      <c r="Q331">
        <v>2230.041489930738</v>
      </c>
      <c r="R331">
        <v>2230.4051451229102</v>
      </c>
      <c r="S331">
        <f t="shared" si="5"/>
        <v>-0.36365519217224573</v>
      </c>
      <c r="T331">
        <v>0</v>
      </c>
      <c r="U331">
        <v>91</v>
      </c>
      <c r="V331">
        <v>4</v>
      </c>
      <c r="X331">
        <v>0.45</v>
      </c>
      <c r="Y331">
        <v>0.15</v>
      </c>
      <c r="Z331">
        <v>444.08020558276098</v>
      </c>
      <c r="AA331">
        <v>102.4394432257219</v>
      </c>
      <c r="AD331" t="s">
        <v>639</v>
      </c>
      <c r="AE331" t="s">
        <v>639</v>
      </c>
      <c r="AG331">
        <v>2259.1432</v>
      </c>
      <c r="AH331">
        <v>2259.1432</v>
      </c>
      <c r="AM331">
        <v>97.741615753283398</v>
      </c>
      <c r="AN331">
        <v>81.608716652048912</v>
      </c>
    </row>
    <row r="332" spans="2:40" x14ac:dyDescent="0.3">
      <c r="B332" t="s">
        <v>640</v>
      </c>
      <c r="C332" s="2">
        <v>45974</v>
      </c>
      <c r="D332" t="s">
        <v>580</v>
      </c>
      <c r="E332">
        <v>17</v>
      </c>
      <c r="F332">
        <v>1</v>
      </c>
      <c r="G332">
        <v>449</v>
      </c>
      <c r="J332">
        <v>25.2</v>
      </c>
      <c r="K332">
        <v>169.8</v>
      </c>
      <c r="L332">
        <v>32</v>
      </c>
      <c r="M332">
        <v>9.9412731062620593E-2</v>
      </c>
      <c r="N332">
        <v>2314.0488500000001</v>
      </c>
      <c r="O332">
        <v>2263.763511299966</v>
      </c>
      <c r="P332">
        <v>1930.0120487798849</v>
      </c>
      <c r="Q332">
        <v>2021.2653315421021</v>
      </c>
      <c r="R332">
        <v>2023.172230653397</v>
      </c>
      <c r="S332">
        <f t="shared" si="5"/>
        <v>-1.9068991112949334</v>
      </c>
      <c r="T332">
        <v>0</v>
      </c>
      <c r="U332">
        <v>385</v>
      </c>
      <c r="V332">
        <v>4</v>
      </c>
      <c r="X332">
        <v>2.5499999999999998</v>
      </c>
      <c r="Y332">
        <v>0.15</v>
      </c>
      <c r="Z332">
        <v>595.0956646569814</v>
      </c>
      <c r="AA332">
        <v>2072.3475648775261</v>
      </c>
      <c r="AD332" t="s">
        <v>641</v>
      </c>
      <c r="AE332" t="s">
        <v>641</v>
      </c>
      <c r="AG332">
        <v>1970.5761</v>
      </c>
      <c r="AH332">
        <v>1970.5761</v>
      </c>
      <c r="AM332">
        <v>85.256787608153275</v>
      </c>
      <c r="AN332">
        <v>0.66068772838176204</v>
      </c>
    </row>
    <row r="333" spans="2:40" x14ac:dyDescent="0.3">
      <c r="B333" t="s">
        <v>642</v>
      </c>
      <c r="C333" s="2">
        <v>45974</v>
      </c>
      <c r="D333" t="s">
        <v>580</v>
      </c>
      <c r="E333">
        <v>18</v>
      </c>
      <c r="F333">
        <v>1</v>
      </c>
      <c r="G333">
        <v>450</v>
      </c>
      <c r="J333">
        <v>25.2</v>
      </c>
      <c r="K333">
        <v>169.9</v>
      </c>
      <c r="L333">
        <v>32</v>
      </c>
      <c r="M333">
        <v>9.9412731062620593E-2</v>
      </c>
      <c r="N333">
        <v>2314.0488500000001</v>
      </c>
      <c r="O333">
        <v>2263.763511299966</v>
      </c>
      <c r="P333">
        <v>1968.2979738928691</v>
      </c>
      <c r="Q333">
        <v>2056.0703879683729</v>
      </c>
      <c r="R333">
        <v>2057.9045481577982</v>
      </c>
      <c r="S333">
        <f t="shared" si="5"/>
        <v>-1.8341601894253472</v>
      </c>
      <c r="T333">
        <v>0</v>
      </c>
      <c r="U333">
        <v>340</v>
      </c>
      <c r="V333">
        <v>4</v>
      </c>
      <c r="X333">
        <v>2.25</v>
      </c>
      <c r="Y333">
        <v>0.15</v>
      </c>
      <c r="AD333" t="s">
        <v>643</v>
      </c>
      <c r="AE333" t="s">
        <v>643</v>
      </c>
      <c r="AG333">
        <v>2009.6667</v>
      </c>
      <c r="AH333">
        <v>2009.6667</v>
      </c>
      <c r="AM333">
        <v>86.948038700498984</v>
      </c>
      <c r="AN333">
        <v>5.5788683752167811</v>
      </c>
    </row>
    <row r="334" spans="2:40" x14ac:dyDescent="0.3">
      <c r="B334" t="s">
        <v>644</v>
      </c>
      <c r="C334" s="2">
        <v>45974</v>
      </c>
      <c r="D334" t="s">
        <v>580</v>
      </c>
      <c r="E334">
        <v>19</v>
      </c>
      <c r="F334">
        <v>1</v>
      </c>
      <c r="G334">
        <v>451</v>
      </c>
      <c r="J334">
        <v>25.2</v>
      </c>
      <c r="K334">
        <v>169.95</v>
      </c>
      <c r="L334">
        <v>32</v>
      </c>
      <c r="M334">
        <v>9.9412731062620593E-2</v>
      </c>
      <c r="N334">
        <v>2314.0488500000001</v>
      </c>
      <c r="O334">
        <v>2263.763511299966</v>
      </c>
      <c r="P334">
        <v>2024.659005245207</v>
      </c>
      <c r="Q334">
        <v>2101.0443275422522</v>
      </c>
      <c r="R334">
        <v>2102.640534262659</v>
      </c>
      <c r="S334">
        <f t="shared" si="5"/>
        <v>-1.5962067204068262</v>
      </c>
      <c r="T334">
        <v>0</v>
      </c>
      <c r="U334">
        <v>295</v>
      </c>
      <c r="V334">
        <v>4</v>
      </c>
      <c r="X334">
        <v>1.95</v>
      </c>
      <c r="Y334">
        <v>0.15</v>
      </c>
      <c r="Z334">
        <v>478.59651138289831</v>
      </c>
      <c r="AA334">
        <v>592.22152977527628</v>
      </c>
      <c r="AD334" t="s">
        <v>645</v>
      </c>
      <c r="AE334" t="s">
        <v>645</v>
      </c>
      <c r="AG334">
        <v>2067.2123000000001</v>
      </c>
      <c r="AH334">
        <v>2067.2123000000001</v>
      </c>
      <c r="AM334">
        <v>89.437743613180984</v>
      </c>
      <c r="AN334">
        <v>18.624944787877489</v>
      </c>
    </row>
    <row r="335" spans="2:40" x14ac:dyDescent="0.3">
      <c r="B335" t="s">
        <v>646</v>
      </c>
      <c r="C335" s="2">
        <v>45974</v>
      </c>
      <c r="D335" t="s">
        <v>580</v>
      </c>
      <c r="E335">
        <v>20</v>
      </c>
      <c r="F335">
        <v>1</v>
      </c>
      <c r="G335">
        <v>452</v>
      </c>
      <c r="J335">
        <v>25.2</v>
      </c>
      <c r="K335">
        <v>169.95</v>
      </c>
      <c r="L335">
        <v>32</v>
      </c>
      <c r="M335">
        <v>9.9412731062620593E-2</v>
      </c>
      <c r="N335">
        <v>2314.0488500000001</v>
      </c>
      <c r="O335">
        <v>2263.763511299966</v>
      </c>
      <c r="P335">
        <v>2064.2871208534712</v>
      </c>
      <c r="Q335">
        <v>2128.68083839886</v>
      </c>
      <c r="R335">
        <v>2130.0264592800322</v>
      </c>
      <c r="S335">
        <f t="shared" si="5"/>
        <v>-1.3456208811721808</v>
      </c>
      <c r="T335">
        <v>0</v>
      </c>
      <c r="U335">
        <v>272</v>
      </c>
      <c r="V335">
        <v>4</v>
      </c>
      <c r="X335">
        <v>1.65</v>
      </c>
      <c r="Y335">
        <v>0.15</v>
      </c>
      <c r="Z335">
        <v>467.59423610724127</v>
      </c>
      <c r="AA335">
        <v>391.59970406779792</v>
      </c>
      <c r="AD335" t="s">
        <v>647</v>
      </c>
      <c r="AE335" t="s">
        <v>647</v>
      </c>
      <c r="AG335">
        <v>2107.6732999999999</v>
      </c>
      <c r="AH335">
        <v>2107.6732999999999</v>
      </c>
      <c r="AM335">
        <v>91.18828493123182</v>
      </c>
      <c r="AN335">
        <v>31.492269662452369</v>
      </c>
    </row>
    <row r="336" spans="2:40" x14ac:dyDescent="0.3">
      <c r="B336" t="s">
        <v>648</v>
      </c>
      <c r="C336" s="2">
        <v>45974</v>
      </c>
      <c r="D336" t="s">
        <v>580</v>
      </c>
      <c r="E336">
        <v>21</v>
      </c>
      <c r="F336">
        <v>1</v>
      </c>
      <c r="G336">
        <v>453</v>
      </c>
      <c r="J336">
        <v>25.2</v>
      </c>
      <c r="K336">
        <v>169.8</v>
      </c>
      <c r="L336">
        <v>32</v>
      </c>
      <c r="M336">
        <v>9.9412731062620593E-2</v>
      </c>
      <c r="N336">
        <v>2314.0488500000001</v>
      </c>
      <c r="O336">
        <v>2263.763511299966</v>
      </c>
      <c r="P336">
        <v>2115.250497478326</v>
      </c>
      <c r="Q336">
        <v>2168.3609256734362</v>
      </c>
      <c r="R336">
        <v>2169.47076222134</v>
      </c>
      <c r="S336">
        <f t="shared" si="5"/>
        <v>-1.1098365479037966</v>
      </c>
      <c r="T336">
        <v>0</v>
      </c>
      <c r="U336">
        <v>220</v>
      </c>
      <c r="V336">
        <v>4</v>
      </c>
      <c r="X336">
        <v>1.35</v>
      </c>
      <c r="Y336">
        <v>0.15</v>
      </c>
      <c r="Z336">
        <v>464.2245052158982</v>
      </c>
      <c r="AA336">
        <v>340.3428109510682</v>
      </c>
      <c r="AD336" t="s">
        <v>649</v>
      </c>
      <c r="AE336" t="s">
        <v>649</v>
      </c>
      <c r="AG336">
        <v>2159.7078000000001</v>
      </c>
      <c r="AH336">
        <v>2159.7078000000001</v>
      </c>
      <c r="AM336">
        <v>93.439552626397955</v>
      </c>
      <c r="AN336">
        <v>44.203679107651141</v>
      </c>
    </row>
    <row r="337" spans="2:40" x14ac:dyDescent="0.3">
      <c r="B337" t="s">
        <v>650</v>
      </c>
      <c r="C337" s="2">
        <v>45974</v>
      </c>
      <c r="D337" t="s">
        <v>580</v>
      </c>
      <c r="E337">
        <v>22</v>
      </c>
      <c r="F337">
        <v>1</v>
      </c>
      <c r="G337">
        <v>454</v>
      </c>
      <c r="J337">
        <v>25.2</v>
      </c>
      <c r="K337">
        <v>169.6</v>
      </c>
      <c r="L337">
        <v>32</v>
      </c>
      <c r="M337">
        <v>9.9412731062620593E-2</v>
      </c>
      <c r="N337">
        <v>2314.0488500000001</v>
      </c>
      <c r="O337">
        <v>2263.763511299966</v>
      </c>
      <c r="P337">
        <v>2144.387705854283</v>
      </c>
      <c r="Q337">
        <v>2185.3190047344619</v>
      </c>
      <c r="R337">
        <v>2186.1743367849499</v>
      </c>
      <c r="S337">
        <f t="shared" si="5"/>
        <v>-0.85533205048795935</v>
      </c>
      <c r="T337">
        <v>0</v>
      </c>
      <c r="U337">
        <v>192</v>
      </c>
      <c r="V337">
        <v>4</v>
      </c>
      <c r="X337">
        <v>1.05</v>
      </c>
      <c r="Y337">
        <v>0.15</v>
      </c>
      <c r="Z337">
        <v>458.20130201045112</v>
      </c>
      <c r="AA337">
        <v>255.957230046174</v>
      </c>
      <c r="AD337" t="s">
        <v>651</v>
      </c>
      <c r="AE337" t="s">
        <v>651</v>
      </c>
      <c r="AG337">
        <v>2189.4573999999998</v>
      </c>
      <c r="AH337">
        <v>2189.4573999999998</v>
      </c>
      <c r="AM337">
        <v>94.726666241866781</v>
      </c>
      <c r="AN337">
        <v>56.781420400145521</v>
      </c>
    </row>
    <row r="338" spans="2:40" x14ac:dyDescent="0.3">
      <c r="B338" t="s">
        <v>652</v>
      </c>
      <c r="C338" s="2">
        <v>45974</v>
      </c>
      <c r="D338" t="s">
        <v>580</v>
      </c>
      <c r="E338">
        <v>23</v>
      </c>
      <c r="F338">
        <v>1</v>
      </c>
      <c r="G338">
        <v>455</v>
      </c>
      <c r="J338">
        <v>25.2</v>
      </c>
      <c r="L338">
        <v>32</v>
      </c>
      <c r="M338">
        <v>9.9412731062620593E-2</v>
      </c>
      <c r="N338">
        <v>2314.0488500000001</v>
      </c>
      <c r="O338">
        <v>2263.763511299966</v>
      </c>
      <c r="P338">
        <v>2242.4890594860199</v>
      </c>
      <c r="Q338">
        <v>2241.4753220648381</v>
      </c>
      <c r="R338">
        <v>2241.4541382243342</v>
      </c>
      <c r="S338">
        <f t="shared" si="5"/>
        <v>2.1183840503908868E-2</v>
      </c>
      <c r="T338">
        <v>0</v>
      </c>
      <c r="U338">
        <v>0</v>
      </c>
      <c r="V338">
        <v>4</v>
      </c>
      <c r="X338">
        <v>0</v>
      </c>
      <c r="Y338">
        <v>0.15</v>
      </c>
      <c r="AD338" t="s">
        <v>653</v>
      </c>
      <c r="AE338" t="s">
        <v>653</v>
      </c>
      <c r="AG338">
        <v>2289.6206000000002</v>
      </c>
      <c r="AH338">
        <v>2289.6206000000002</v>
      </c>
      <c r="AM338">
        <v>99.060217566554499</v>
      </c>
      <c r="AN338">
        <v>100</v>
      </c>
    </row>
    <row r="339" spans="2:40" x14ac:dyDescent="0.3">
      <c r="B339" t="s">
        <v>654</v>
      </c>
      <c r="C339" s="2">
        <v>45974</v>
      </c>
      <c r="D339" t="s">
        <v>580</v>
      </c>
      <c r="E339">
        <v>24</v>
      </c>
      <c r="F339">
        <v>1</v>
      </c>
      <c r="G339">
        <v>456</v>
      </c>
      <c r="J339">
        <v>25.2</v>
      </c>
      <c r="K339">
        <v>169.7</v>
      </c>
      <c r="L339">
        <v>32</v>
      </c>
      <c r="M339">
        <v>9.9412731062620593E-2</v>
      </c>
      <c r="N339">
        <v>2314.0488500000001</v>
      </c>
      <c r="O339">
        <v>2263.763511299966</v>
      </c>
      <c r="P339">
        <v>1725.606445971222</v>
      </c>
      <c r="Q339">
        <v>1807.124441551008</v>
      </c>
      <c r="R339">
        <v>1808.8279045785321</v>
      </c>
      <c r="S339">
        <f t="shared" si="5"/>
        <v>-1.7034630275240943</v>
      </c>
      <c r="T339">
        <v>0</v>
      </c>
      <c r="U339">
        <v>612</v>
      </c>
      <c r="V339">
        <v>4</v>
      </c>
      <c r="W339">
        <v>1</v>
      </c>
      <c r="X339">
        <v>4.2</v>
      </c>
      <c r="Y339">
        <v>0.15</v>
      </c>
      <c r="Z339">
        <v>633.87249768961647</v>
      </c>
      <c r="AA339">
        <v>2358.412556314373</v>
      </c>
      <c r="AB339">
        <v>2355.4760000000001</v>
      </c>
      <c r="AC339">
        <v>4.1529999999999996</v>
      </c>
      <c r="AD339" t="s">
        <v>655</v>
      </c>
      <c r="AE339" t="s">
        <v>655</v>
      </c>
      <c r="AG339">
        <v>1761.8743999999999</v>
      </c>
      <c r="AH339">
        <v>1761.8743999999999</v>
      </c>
      <c r="AM339">
        <v>76.227328400584241</v>
      </c>
      <c r="AN339">
        <v>0.65629920226120153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 Remkes</cp:lastModifiedBy>
  <dcterms:created xsi:type="dcterms:W3CDTF">2026-01-05T10:00:36Z</dcterms:created>
  <dcterms:modified xsi:type="dcterms:W3CDTF">2026-01-05T12:43:42Z</dcterms:modified>
</cp:coreProperties>
</file>