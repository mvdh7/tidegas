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0e67038fc02b579b/Documenten/GitHub/tidegas/"/>
    </mc:Choice>
  </mc:AlternateContent>
  <xr:revisionPtr revIDLastSave="0" documentId="8_{3E527B42-29E4-4666-90E6-4893B6BDD04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7" i="1" l="1"/>
</calcChain>
</file>

<file path=xl/sharedStrings.xml><?xml version="1.0" encoding="utf-8"?>
<sst xmlns="http://schemas.openxmlformats.org/spreadsheetml/2006/main" count="184" uniqueCount="91">
  <si>
    <t>Description</t>
  </si>
  <si>
    <t>file name alkalinity</t>
  </si>
  <si>
    <t>date</t>
  </si>
  <si>
    <t>sample/junk</t>
  </si>
  <si>
    <t>bottle</t>
  </si>
  <si>
    <t>batch</t>
  </si>
  <si>
    <t>identifier</t>
  </si>
  <si>
    <t xml:space="preserve">notes </t>
  </si>
  <si>
    <t>file_not_good</t>
  </si>
  <si>
    <t>Temperature</t>
  </si>
  <si>
    <t>First emf value</t>
  </si>
  <si>
    <t>Salinity</t>
  </si>
  <si>
    <t>Titrant Molinity</t>
  </si>
  <si>
    <t>Reference DIC (ug/kg)</t>
  </si>
  <si>
    <t xml:space="preserve">start time </t>
  </si>
  <si>
    <t>end time</t>
  </si>
  <si>
    <t>duration (seconds)</t>
  </si>
  <si>
    <t>detailed timings?</t>
  </si>
  <si>
    <t>acid in mL extracted</t>
  </si>
  <si>
    <t>acid increment extracted</t>
  </si>
  <si>
    <t>acid increments (mL)</t>
  </si>
  <si>
    <t>emf0 value</t>
  </si>
  <si>
    <t>Vindta raw alkalinity</t>
  </si>
  <si>
    <t>calkulate alkalinity</t>
  </si>
  <si>
    <t>Unnamed: 15</t>
  </si>
  <si>
    <t>file name DIC</t>
  </si>
  <si>
    <t>start time</t>
  </si>
  <si>
    <t>sample volume (L)</t>
  </si>
  <si>
    <t>Reference (0 acid) integraded current uAs</t>
  </si>
  <si>
    <t>Integrated current  (uAs)</t>
  </si>
  <si>
    <t>Faradays constant</t>
  </si>
  <si>
    <t>0-0  0  (0)junk-250916-01.dat</t>
  </si>
  <si>
    <t>16-Sep</t>
  </si>
  <si>
    <t>Junk</t>
  </si>
  <si>
    <t>first measurement bad</t>
  </si>
  <si>
    <t>not_good</t>
  </si>
  <si>
    <t>yes</t>
  </si>
  <si>
    <t>0-0  0  (0)junk-250916-02.dat</t>
  </si>
  <si>
    <t>0-0  0  (0)junk-250916-03.dat</t>
  </si>
  <si>
    <t>0-0  0  (0)junk-250916-04.dat</t>
  </si>
  <si>
    <t>0-0  0  (0)junk-250916-05.dat</t>
  </si>
  <si>
    <t>0-0  0  (0)junk-250916-06.dat</t>
  </si>
  <si>
    <t>0-0  0  (0)junk-250916-07.dat</t>
  </si>
  <si>
    <t>0-0  0  (0)junk-250916-08.dat</t>
  </si>
  <si>
    <t xml:space="preserve">Cell not full </t>
  </si>
  <si>
    <t>0-0  0  (0)junk-250916-09.dat</t>
  </si>
  <si>
    <t>0-0  0  (0)junk-250916-10.dat</t>
  </si>
  <si>
    <t>0-0  0  (0)junk-250916-11.dat</t>
  </si>
  <si>
    <t>0-0  0  (0)junk-250917-01.dat</t>
  </si>
  <si>
    <t>17-Sep</t>
  </si>
  <si>
    <t>0-0  0  (0)junk-250917-02.dat</t>
  </si>
  <si>
    <t>0-0  0  (0)junk-250917-03.dat</t>
  </si>
  <si>
    <t>0-0  0  (0)junk-250917-04.dat</t>
  </si>
  <si>
    <t>Reference</t>
  </si>
  <si>
    <t>0-0  0  (0)junk-250917-05.dat</t>
  </si>
  <si>
    <t>0-0  0  (0)junk-250917-06.dat</t>
  </si>
  <si>
    <t>0-0  0  (0)junk-250917-07.dat</t>
  </si>
  <si>
    <t>0-0  0  (0)junk-250917-08.dat</t>
  </si>
  <si>
    <t>0-0  0  (0)junk-250917-09.dat</t>
  </si>
  <si>
    <t>0-0  0  (0)junk-250917-10.dat</t>
  </si>
  <si>
    <t>0-0  0  (0)junk-250917-11.dat</t>
  </si>
  <si>
    <t>0-0  0  (0)junk-250917-12.dat</t>
  </si>
  <si>
    <t>0-0  0  (0)junk-250918-01.dat</t>
  </si>
  <si>
    <t>18-Sep</t>
  </si>
  <si>
    <t>0-0  0  (0)junk-250918-02.dat</t>
  </si>
  <si>
    <t>0-0  0  (0)junk-250918-03.dat</t>
  </si>
  <si>
    <t>0-0  0  (0)junk-250930-02.dat</t>
  </si>
  <si>
    <t>30-Sep</t>
  </si>
  <si>
    <t>0-0  0  (0)junk-250930-03.dat</t>
  </si>
  <si>
    <t>0-0  0  (0)junk-250930-04-2_25mL-0_15incrMl.dat</t>
  </si>
  <si>
    <t>0-0  0  (0)junk-250930-05-1_2mL-0_15incrmL.dat</t>
  </si>
  <si>
    <t>0-0  0  (0)junk-250930-06-3_15mL-0_15incrmL.dat</t>
  </si>
  <si>
    <t>0-0  0  (0)junk-250930-07-3_60mL-0_15incrmL.dat</t>
  </si>
  <si>
    <t>0-0  0  (0)junk-250930-08-4_80mL-0_15incrmL.dat</t>
  </si>
  <si>
    <t>0-0  0  (0)junk-250930-09-4_2mL-0_15incrmL.dat</t>
  </si>
  <si>
    <t>0-0  0  (0)junk-251001-01-4_2mL-0_15incrmL.dat</t>
  </si>
  <si>
    <t>01-Oct</t>
  </si>
  <si>
    <t>0-0  0  (0)junk-251001-02-2_25mL-0_15incrmL.dat</t>
  </si>
  <si>
    <t>0-0  0  (0)junk-251001-03-1_2mL-0_15incrmL.dat</t>
  </si>
  <si>
    <t>0-0  0  (0)junk-251001-04-1_2mL-0_15incrmL.dat</t>
  </si>
  <si>
    <t>0-0  0  (0)junk-251001-05-1_2mL-0_15incrmL.dat</t>
  </si>
  <si>
    <t>0-0  0  (0)junk-251001-07-2_25mL-0_15incrmL.dat</t>
  </si>
  <si>
    <t>0-0  0  (0)junk-251001-08-2_25mL-0_15incrmL.dat</t>
  </si>
  <si>
    <t>0-0  0  (0)junk-251001-09-2_25mL-0_15incrmL.dat</t>
  </si>
  <si>
    <t>0-0  0  (0)junk-251001-10-3_15mL-0_15incrmL.dat</t>
  </si>
  <si>
    <t>0-0  0  (0)junk-251001-11-3_15mL-0_15incrmL.dat</t>
  </si>
  <si>
    <t>0-0  0  (0)junk-251001-12-4_2mL-0_15incrmL.dat</t>
  </si>
  <si>
    <t>0-0  0  (0)junk-251001-13-4_2mL-0_15incrmL.dat</t>
  </si>
  <si>
    <t>acid added (mL)</t>
  </si>
  <si>
    <t>raw DIC umol/L</t>
  </si>
  <si>
    <t>Calculated DIC umol/kg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</si>
</sst>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7"/>
  <sheetViews>
    <sheetView tabSelected="1" workbookViewId="0">
      <selection activeCell="AA1" sqref="AA1"/>
    </sheetView>
  </sheetViews>
  <sheetFormatPr defaultRowHeight="14.4" x14ac:dyDescent="0.3"/>
  <cols>
    <col min="8" max="8" width="21.77734375" customWidth="1"/>
    <col min="30" max="30" width="28.77734375" customWidth="1"/>
    <col min="32" max="32" width="10" bestFit="1" customWidth="1"/>
  </cols>
  <sheetData>
    <row r="1" spans="1:6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88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89</v>
      </c>
      <c r="AG1" s="1" t="s">
        <v>90</v>
      </c>
      <c r="AH1" s="1" t="s">
        <v>30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x14ac:dyDescent="0.3">
      <c r="B2" t="s">
        <v>31</v>
      </c>
      <c r="C2" t="s">
        <v>32</v>
      </c>
      <c r="D2" t="s">
        <v>33</v>
      </c>
      <c r="E2">
        <v>1</v>
      </c>
      <c r="H2" t="s">
        <v>34</v>
      </c>
      <c r="I2" t="s">
        <v>35</v>
      </c>
      <c r="J2">
        <v>21.3</v>
      </c>
      <c r="K2">
        <v>159.30000000000001</v>
      </c>
      <c r="L2">
        <v>30</v>
      </c>
      <c r="M2">
        <v>0.1</v>
      </c>
      <c r="N2">
        <v>2300</v>
      </c>
      <c r="U2">
        <v>4.2</v>
      </c>
      <c r="V2">
        <v>0.15</v>
      </c>
      <c r="AH2">
        <v>96485.332123</v>
      </c>
    </row>
    <row r="3" spans="1:60" x14ac:dyDescent="0.3">
      <c r="B3" t="s">
        <v>37</v>
      </c>
      <c r="C3" t="s">
        <v>32</v>
      </c>
      <c r="D3" t="s">
        <v>33</v>
      </c>
      <c r="E3">
        <v>2</v>
      </c>
      <c r="J3">
        <v>25.9</v>
      </c>
      <c r="K3">
        <v>162.75</v>
      </c>
      <c r="L3">
        <v>30</v>
      </c>
      <c r="M3">
        <v>0.1</v>
      </c>
      <c r="N3">
        <v>2300</v>
      </c>
      <c r="U3">
        <v>4.2</v>
      </c>
      <c r="V3">
        <v>0.15</v>
      </c>
      <c r="W3">
        <v>634.63099687729891</v>
      </c>
      <c r="Y3">
        <v>2479.6198341980248</v>
      </c>
      <c r="Z3">
        <v>2480.8330047934478</v>
      </c>
      <c r="AH3">
        <v>96485.332123</v>
      </c>
    </row>
    <row r="4" spans="1:60" x14ac:dyDescent="0.3">
      <c r="B4" t="s">
        <v>38</v>
      </c>
      <c r="C4" t="s">
        <v>32</v>
      </c>
      <c r="D4" t="s">
        <v>33</v>
      </c>
      <c r="E4">
        <v>3</v>
      </c>
      <c r="J4">
        <v>25.9</v>
      </c>
      <c r="K4">
        <v>161.75</v>
      </c>
      <c r="L4">
        <v>30</v>
      </c>
      <c r="M4">
        <v>0.1</v>
      </c>
      <c r="N4">
        <v>2300</v>
      </c>
      <c r="U4">
        <v>4.2</v>
      </c>
      <c r="V4">
        <v>0.15</v>
      </c>
      <c r="W4">
        <v>634.10452133248555</v>
      </c>
      <c r="Y4">
        <v>2465.0561969677628</v>
      </c>
      <c r="Z4">
        <v>2466.305071712774</v>
      </c>
      <c r="AH4">
        <v>96485.332123</v>
      </c>
    </row>
    <row r="5" spans="1:60" x14ac:dyDescent="0.3">
      <c r="B5" t="s">
        <v>39</v>
      </c>
      <c r="C5" t="s">
        <v>32</v>
      </c>
      <c r="D5" t="s">
        <v>33</v>
      </c>
      <c r="E5">
        <v>4</v>
      </c>
      <c r="J5">
        <v>25.9</v>
      </c>
      <c r="K5">
        <v>161.85</v>
      </c>
      <c r="L5">
        <v>30</v>
      </c>
      <c r="M5">
        <v>0.1</v>
      </c>
      <c r="N5">
        <v>2300</v>
      </c>
      <c r="U5">
        <v>4.2</v>
      </c>
      <c r="V5">
        <v>0.15</v>
      </c>
      <c r="W5">
        <v>633.65667660847907</v>
      </c>
      <c r="Y5">
        <v>2462.0952016550468</v>
      </c>
      <c r="Z5">
        <v>2463.3601185301532</v>
      </c>
      <c r="AH5">
        <v>96485.332123</v>
      </c>
    </row>
    <row r="6" spans="1:60" x14ac:dyDescent="0.3">
      <c r="B6" t="s">
        <v>40</v>
      </c>
      <c r="C6" t="s">
        <v>32</v>
      </c>
      <c r="D6" t="s">
        <v>33</v>
      </c>
      <c r="E6">
        <v>5</v>
      </c>
      <c r="J6">
        <v>26</v>
      </c>
      <c r="K6">
        <v>161.05000000000001</v>
      </c>
      <c r="L6">
        <v>30</v>
      </c>
      <c r="M6">
        <v>0.1</v>
      </c>
      <c r="N6">
        <v>2300</v>
      </c>
      <c r="U6">
        <v>4.2</v>
      </c>
      <c r="V6">
        <v>0.15</v>
      </c>
      <c r="W6">
        <v>633.79616941716108</v>
      </c>
      <c r="Y6">
        <v>2463.2785124089828</v>
      </c>
      <c r="Z6">
        <v>2464.6783328184151</v>
      </c>
      <c r="AH6">
        <v>96485.332123</v>
      </c>
    </row>
    <row r="7" spans="1:60" x14ac:dyDescent="0.3">
      <c r="B7" t="s">
        <v>41</v>
      </c>
      <c r="C7" t="s">
        <v>32</v>
      </c>
      <c r="D7" t="s">
        <v>33</v>
      </c>
      <c r="E7">
        <v>6</v>
      </c>
      <c r="J7">
        <v>25.9</v>
      </c>
      <c r="K7">
        <v>160.55000000000001</v>
      </c>
      <c r="L7">
        <v>30</v>
      </c>
      <c r="M7">
        <v>0.1</v>
      </c>
      <c r="N7">
        <v>2300</v>
      </c>
      <c r="U7">
        <v>4.2</v>
      </c>
      <c r="V7">
        <v>0.15</v>
      </c>
      <c r="W7">
        <v>633.60487914459236</v>
      </c>
      <c r="Y7">
        <v>2469.4351669244979</v>
      </c>
      <c r="Z7">
        <v>2470.6688480338839</v>
      </c>
      <c r="AH7">
        <v>96485.332123</v>
      </c>
    </row>
    <row r="8" spans="1:60" x14ac:dyDescent="0.3">
      <c r="B8" t="s">
        <v>42</v>
      </c>
      <c r="C8" t="s">
        <v>32</v>
      </c>
      <c r="D8" t="s">
        <v>33</v>
      </c>
      <c r="E8">
        <v>7</v>
      </c>
      <c r="J8">
        <v>26</v>
      </c>
      <c r="K8">
        <v>160.4</v>
      </c>
      <c r="L8">
        <v>30</v>
      </c>
      <c r="M8">
        <v>0.1</v>
      </c>
      <c r="N8">
        <v>2300</v>
      </c>
      <c r="U8">
        <v>4.2</v>
      </c>
      <c r="V8">
        <v>0.15</v>
      </c>
      <c r="W8">
        <v>633.80577511308525</v>
      </c>
      <c r="Y8">
        <v>2471.5820131893788</v>
      </c>
      <c r="Z8">
        <v>2472.943848697912</v>
      </c>
      <c r="AH8">
        <v>96485.332123</v>
      </c>
    </row>
    <row r="9" spans="1:60" x14ac:dyDescent="0.3">
      <c r="B9" t="s">
        <v>43</v>
      </c>
      <c r="C9" t="s">
        <v>32</v>
      </c>
      <c r="D9" t="s">
        <v>33</v>
      </c>
      <c r="E9">
        <v>8</v>
      </c>
      <c r="H9" t="s">
        <v>44</v>
      </c>
      <c r="I9" t="s">
        <v>35</v>
      </c>
      <c r="J9">
        <v>25.9</v>
      </c>
      <c r="K9">
        <v>160.44999999999999</v>
      </c>
      <c r="L9">
        <v>30</v>
      </c>
      <c r="M9">
        <v>0.1</v>
      </c>
      <c r="N9">
        <v>2300</v>
      </c>
      <c r="U9">
        <v>4.2</v>
      </c>
      <c r="V9">
        <v>0.15</v>
      </c>
      <c r="AH9">
        <v>96485.332123</v>
      </c>
    </row>
    <row r="10" spans="1:60" x14ac:dyDescent="0.3">
      <c r="B10" t="s">
        <v>45</v>
      </c>
      <c r="C10" t="s">
        <v>32</v>
      </c>
      <c r="D10" t="s">
        <v>33</v>
      </c>
      <c r="E10">
        <v>9</v>
      </c>
      <c r="J10">
        <v>26</v>
      </c>
      <c r="K10">
        <v>160.44999999999999</v>
      </c>
      <c r="L10">
        <v>30</v>
      </c>
      <c r="M10">
        <v>0.1</v>
      </c>
      <c r="N10">
        <v>2300</v>
      </c>
      <c r="U10">
        <v>4.2</v>
      </c>
      <c r="V10">
        <v>0.15</v>
      </c>
      <c r="W10">
        <v>633.81023214963614</v>
      </c>
      <c r="Y10">
        <v>2461.2116622787239</v>
      </c>
      <c r="Z10">
        <v>2462.6199479465008</v>
      </c>
      <c r="AH10">
        <v>96485.332123</v>
      </c>
    </row>
    <row r="11" spans="1:60" x14ac:dyDescent="0.3">
      <c r="B11" t="s">
        <v>46</v>
      </c>
      <c r="C11" t="s">
        <v>32</v>
      </c>
      <c r="D11" t="s">
        <v>33</v>
      </c>
      <c r="E11">
        <v>10</v>
      </c>
      <c r="J11">
        <v>26</v>
      </c>
      <c r="K11">
        <v>160.55000000000001</v>
      </c>
      <c r="L11">
        <v>30</v>
      </c>
      <c r="M11">
        <v>0.1</v>
      </c>
      <c r="N11">
        <v>2300</v>
      </c>
      <c r="U11">
        <v>4.2</v>
      </c>
      <c r="V11">
        <v>0.15</v>
      </c>
      <c r="W11">
        <v>633.93290905613537</v>
      </c>
      <c r="Y11">
        <v>2451.293749336804</v>
      </c>
      <c r="Z11">
        <v>2452.738872422045</v>
      </c>
      <c r="AH11">
        <v>96485.332123</v>
      </c>
    </row>
    <row r="12" spans="1:60" x14ac:dyDescent="0.3">
      <c r="B12" t="s">
        <v>47</v>
      </c>
      <c r="C12" t="s">
        <v>32</v>
      </c>
      <c r="D12" t="s">
        <v>33</v>
      </c>
      <c r="E12">
        <v>11</v>
      </c>
      <c r="J12">
        <v>26</v>
      </c>
      <c r="K12">
        <v>160.55000000000001</v>
      </c>
      <c r="L12">
        <v>30</v>
      </c>
      <c r="M12">
        <v>0.1</v>
      </c>
      <c r="N12">
        <v>2300</v>
      </c>
      <c r="U12">
        <v>4.2</v>
      </c>
      <c r="V12">
        <v>0.15</v>
      </c>
      <c r="W12">
        <v>634.13598330989282</v>
      </c>
      <c r="Y12">
        <v>2450.9733882057199</v>
      </c>
      <c r="Z12">
        <v>2452.427789110056</v>
      </c>
      <c r="AH12">
        <v>96485.332123</v>
      </c>
    </row>
    <row r="13" spans="1:60" x14ac:dyDescent="0.3">
      <c r="B13" t="s">
        <v>48</v>
      </c>
      <c r="C13" t="s">
        <v>49</v>
      </c>
      <c r="D13" t="s">
        <v>33</v>
      </c>
      <c r="E13">
        <v>1</v>
      </c>
      <c r="J13">
        <v>24.8</v>
      </c>
      <c r="K13">
        <v>166.75</v>
      </c>
      <c r="L13">
        <v>30</v>
      </c>
      <c r="M13">
        <v>0.1</v>
      </c>
      <c r="N13">
        <v>2300</v>
      </c>
      <c r="U13">
        <v>4.2</v>
      </c>
      <c r="V13">
        <v>0.15</v>
      </c>
      <c r="W13">
        <v>635.62796300211505</v>
      </c>
      <c r="Y13">
        <v>2369.100115903098</v>
      </c>
      <c r="Z13">
        <v>2368.8679078452992</v>
      </c>
      <c r="AH13">
        <v>96485.332123</v>
      </c>
    </row>
    <row r="14" spans="1:60" x14ac:dyDescent="0.3">
      <c r="B14" t="s">
        <v>50</v>
      </c>
      <c r="C14" t="s">
        <v>49</v>
      </c>
      <c r="D14" t="s">
        <v>33</v>
      </c>
      <c r="E14">
        <v>2</v>
      </c>
      <c r="J14">
        <v>25</v>
      </c>
      <c r="K14">
        <v>168.65</v>
      </c>
      <c r="L14">
        <v>30</v>
      </c>
      <c r="M14">
        <v>0.1</v>
      </c>
      <c r="N14">
        <v>2300</v>
      </c>
      <c r="U14">
        <v>4.2</v>
      </c>
      <c r="V14">
        <v>0.15</v>
      </c>
      <c r="W14">
        <v>634.88962071946457</v>
      </c>
      <c r="Y14">
        <v>2378.588585063505</v>
      </c>
      <c r="Z14">
        <v>2378.588585063505</v>
      </c>
      <c r="AH14">
        <v>96485.332123</v>
      </c>
    </row>
    <row r="15" spans="1:60" x14ac:dyDescent="0.3">
      <c r="B15" t="s">
        <v>51</v>
      </c>
      <c r="C15" t="s">
        <v>49</v>
      </c>
      <c r="D15" t="s">
        <v>33</v>
      </c>
      <c r="E15">
        <v>3</v>
      </c>
      <c r="J15">
        <v>25.1</v>
      </c>
      <c r="K15">
        <v>168.05</v>
      </c>
      <c r="L15">
        <v>30</v>
      </c>
      <c r="M15">
        <v>0.1</v>
      </c>
      <c r="N15">
        <v>2300</v>
      </c>
      <c r="U15">
        <v>4.2</v>
      </c>
      <c r="V15">
        <v>0.15</v>
      </c>
      <c r="W15">
        <v>635.7973952407948</v>
      </c>
      <c r="Y15">
        <v>2378.671600932701</v>
      </c>
      <c r="Z15">
        <v>2378.7836612974579</v>
      </c>
      <c r="AH15">
        <v>96485.332123</v>
      </c>
    </row>
    <row r="16" spans="1:60" x14ac:dyDescent="0.3">
      <c r="B16" t="s">
        <v>52</v>
      </c>
      <c r="C16" t="s">
        <v>49</v>
      </c>
      <c r="D16" t="s">
        <v>33</v>
      </c>
      <c r="E16">
        <v>4</v>
      </c>
      <c r="J16">
        <v>25.2</v>
      </c>
      <c r="K16">
        <v>168.75</v>
      </c>
      <c r="L16">
        <v>30</v>
      </c>
      <c r="M16">
        <v>0.1</v>
      </c>
      <c r="N16">
        <v>2300</v>
      </c>
      <c r="U16">
        <v>4.2</v>
      </c>
      <c r="V16">
        <v>0.15</v>
      </c>
      <c r="W16">
        <v>635.22566694086993</v>
      </c>
      <c r="Y16">
        <v>2379.4923501751409</v>
      </c>
      <c r="Z16">
        <v>2379.7145675521101</v>
      </c>
      <c r="AH16">
        <v>96485.332123</v>
      </c>
    </row>
    <row r="17" spans="2:34" x14ac:dyDescent="0.3">
      <c r="B17" t="s">
        <v>54</v>
      </c>
      <c r="C17" t="s">
        <v>49</v>
      </c>
      <c r="D17" t="s">
        <v>33</v>
      </c>
      <c r="E17">
        <v>5</v>
      </c>
      <c r="J17">
        <v>25.2</v>
      </c>
      <c r="K17">
        <v>167.75</v>
      </c>
      <c r="L17">
        <v>30</v>
      </c>
      <c r="M17">
        <v>0.1</v>
      </c>
      <c r="N17">
        <v>2300</v>
      </c>
      <c r="U17">
        <v>4.2</v>
      </c>
      <c r="V17">
        <v>0.15</v>
      </c>
      <c r="W17">
        <v>634.99785044230418</v>
      </c>
      <c r="Y17">
        <v>2380.1405290242369</v>
      </c>
      <c r="Z17">
        <v>2380.3633254358929</v>
      </c>
      <c r="AH17">
        <v>96485.332123</v>
      </c>
    </row>
    <row r="18" spans="2:34" x14ac:dyDescent="0.3">
      <c r="B18" t="s">
        <v>55</v>
      </c>
      <c r="C18" t="s">
        <v>49</v>
      </c>
      <c r="D18" t="s">
        <v>33</v>
      </c>
      <c r="E18">
        <v>6</v>
      </c>
      <c r="J18">
        <v>25.2</v>
      </c>
      <c r="K18">
        <v>167</v>
      </c>
      <c r="L18">
        <v>30</v>
      </c>
      <c r="M18">
        <v>0.1</v>
      </c>
      <c r="N18">
        <v>2300</v>
      </c>
      <c r="U18">
        <v>4.2</v>
      </c>
      <c r="V18">
        <v>0.15</v>
      </c>
      <c r="W18">
        <v>634.12275170294572</v>
      </c>
      <c r="Y18">
        <v>2382.832307525784</v>
      </c>
      <c r="Z18">
        <v>2383.0509622805612</v>
      </c>
      <c r="AH18">
        <v>96485.332123</v>
      </c>
    </row>
    <row r="19" spans="2:34" x14ac:dyDescent="0.3">
      <c r="B19" t="s">
        <v>56</v>
      </c>
      <c r="C19" t="s">
        <v>49</v>
      </c>
      <c r="D19" t="s">
        <v>33</v>
      </c>
      <c r="E19">
        <v>7</v>
      </c>
      <c r="J19">
        <v>25.2</v>
      </c>
      <c r="K19">
        <v>166.4</v>
      </c>
      <c r="L19">
        <v>30</v>
      </c>
      <c r="M19">
        <v>0.1</v>
      </c>
      <c r="N19">
        <v>2300</v>
      </c>
      <c r="U19">
        <v>4.2</v>
      </c>
      <c r="V19">
        <v>0.15</v>
      </c>
      <c r="W19">
        <v>633.83053814862444</v>
      </c>
      <c r="Y19">
        <v>2382.002284193682</v>
      </c>
      <c r="Z19">
        <v>2382.2228506305119</v>
      </c>
      <c r="AH19">
        <v>96485.332123</v>
      </c>
    </row>
    <row r="20" spans="2:34" x14ac:dyDescent="0.3">
      <c r="B20" t="s">
        <v>57</v>
      </c>
      <c r="C20" t="s">
        <v>49</v>
      </c>
      <c r="D20" t="s">
        <v>33</v>
      </c>
      <c r="E20">
        <v>8</v>
      </c>
      <c r="J20">
        <v>25.2</v>
      </c>
      <c r="K20">
        <v>166.2</v>
      </c>
      <c r="L20">
        <v>30</v>
      </c>
      <c r="M20">
        <v>0.1</v>
      </c>
      <c r="N20">
        <v>2300</v>
      </c>
      <c r="U20">
        <v>4.2</v>
      </c>
      <c r="V20">
        <v>0.15</v>
      </c>
      <c r="W20">
        <v>633.60881395673073</v>
      </c>
      <c r="Y20">
        <v>2381.8024935064932</v>
      </c>
      <c r="Z20">
        <v>2382.0240580926011</v>
      </c>
      <c r="AH20">
        <v>96485.332123</v>
      </c>
    </row>
    <row r="21" spans="2:34" x14ac:dyDescent="0.3">
      <c r="B21" t="s">
        <v>58</v>
      </c>
      <c r="C21" t="s">
        <v>49</v>
      </c>
      <c r="D21" t="s">
        <v>33</v>
      </c>
      <c r="E21">
        <v>9</v>
      </c>
      <c r="J21">
        <v>25.2</v>
      </c>
      <c r="K21">
        <v>165.85</v>
      </c>
      <c r="L21">
        <v>30</v>
      </c>
      <c r="M21">
        <v>0.1</v>
      </c>
      <c r="N21">
        <v>2300</v>
      </c>
      <c r="U21">
        <v>4.2</v>
      </c>
      <c r="V21">
        <v>0.15</v>
      </c>
      <c r="W21">
        <v>633.37258920101885</v>
      </c>
      <c r="Y21">
        <v>2385.4116769447051</v>
      </c>
      <c r="Z21">
        <v>2385.6289016839601</v>
      </c>
      <c r="AH21">
        <v>96485.332123</v>
      </c>
    </row>
    <row r="22" spans="2:34" x14ac:dyDescent="0.3">
      <c r="B22" t="s">
        <v>59</v>
      </c>
      <c r="C22" t="s">
        <v>49</v>
      </c>
      <c r="D22" t="s">
        <v>33</v>
      </c>
      <c r="E22">
        <v>10</v>
      </c>
      <c r="I22" t="s">
        <v>35</v>
      </c>
      <c r="J22">
        <v>25.2</v>
      </c>
      <c r="K22">
        <v>165.85</v>
      </c>
      <c r="L22">
        <v>30</v>
      </c>
      <c r="M22">
        <v>0.1</v>
      </c>
      <c r="N22">
        <v>2300</v>
      </c>
      <c r="U22">
        <v>4.2</v>
      </c>
      <c r="V22">
        <v>0.15</v>
      </c>
      <c r="W22">
        <v>633.21474400597629</v>
      </c>
      <c r="Y22">
        <v>2381.0197906424992</v>
      </c>
      <c r="Z22">
        <v>2381.2419488725068</v>
      </c>
      <c r="AH22">
        <v>96485.332123</v>
      </c>
    </row>
    <row r="23" spans="2:34" x14ac:dyDescent="0.3">
      <c r="B23" t="s">
        <v>60</v>
      </c>
      <c r="C23" t="s">
        <v>49</v>
      </c>
      <c r="D23" t="s">
        <v>33</v>
      </c>
      <c r="E23">
        <v>11</v>
      </c>
      <c r="J23">
        <v>25.2</v>
      </c>
      <c r="K23">
        <v>165.85</v>
      </c>
      <c r="L23">
        <v>30</v>
      </c>
      <c r="M23">
        <v>0.1</v>
      </c>
      <c r="N23">
        <v>2300</v>
      </c>
      <c r="U23">
        <v>4.2</v>
      </c>
      <c r="V23">
        <v>0.15</v>
      </c>
      <c r="W23">
        <v>633.09674478859677</v>
      </c>
      <c r="Y23">
        <v>2380.21295236166</v>
      </c>
      <c r="Z23">
        <v>2380.4361828127048</v>
      </c>
      <c r="AH23">
        <v>96485.332123</v>
      </c>
    </row>
    <row r="24" spans="2:34" x14ac:dyDescent="0.3">
      <c r="B24" t="s">
        <v>61</v>
      </c>
      <c r="C24" t="s">
        <v>49</v>
      </c>
      <c r="D24" t="s">
        <v>33</v>
      </c>
      <c r="E24">
        <v>12</v>
      </c>
      <c r="J24">
        <v>25.2</v>
      </c>
      <c r="K24">
        <v>165.75</v>
      </c>
      <c r="L24">
        <v>30</v>
      </c>
      <c r="M24">
        <v>0.1</v>
      </c>
      <c r="N24">
        <v>2300</v>
      </c>
      <c r="U24">
        <v>4.2</v>
      </c>
      <c r="V24">
        <v>0.15</v>
      </c>
      <c r="W24">
        <v>632.96424639964698</v>
      </c>
      <c r="Y24">
        <v>2382.7737580172889</v>
      </c>
      <c r="Z24">
        <v>2382.9933907835571</v>
      </c>
      <c r="AH24">
        <v>96485.332123</v>
      </c>
    </row>
    <row r="25" spans="2:34" x14ac:dyDescent="0.3">
      <c r="B25" t="s">
        <v>62</v>
      </c>
      <c r="C25" t="s">
        <v>63</v>
      </c>
      <c r="D25" t="s">
        <v>33</v>
      </c>
      <c r="E25">
        <v>1</v>
      </c>
      <c r="J25">
        <v>25.2</v>
      </c>
      <c r="K25">
        <v>169.95</v>
      </c>
      <c r="L25">
        <v>30</v>
      </c>
      <c r="M25">
        <v>0.1</v>
      </c>
      <c r="N25">
        <v>2300</v>
      </c>
      <c r="V25">
        <v>0.15</v>
      </c>
      <c r="W25">
        <v>630.66257462689919</v>
      </c>
      <c r="Y25">
        <v>2365.3109951043789</v>
      </c>
      <c r="AH25">
        <v>96485.332123</v>
      </c>
    </row>
    <row r="26" spans="2:34" x14ac:dyDescent="0.3">
      <c r="B26" t="s">
        <v>64</v>
      </c>
      <c r="C26" t="s">
        <v>63</v>
      </c>
      <c r="D26" t="s">
        <v>33</v>
      </c>
      <c r="E26">
        <v>2</v>
      </c>
      <c r="J26">
        <v>25.2</v>
      </c>
      <c r="K26">
        <v>169.45</v>
      </c>
      <c r="L26">
        <v>30</v>
      </c>
      <c r="M26">
        <v>0.1</v>
      </c>
      <c r="N26">
        <v>2300</v>
      </c>
      <c r="V26">
        <v>0.15</v>
      </c>
      <c r="W26">
        <v>630.95972842503852</v>
      </c>
      <c r="Y26">
        <v>2335.721492273969</v>
      </c>
      <c r="AH26">
        <v>96485.332123</v>
      </c>
    </row>
    <row r="27" spans="2:34" x14ac:dyDescent="0.3">
      <c r="B27" t="s">
        <v>65</v>
      </c>
      <c r="C27" t="s">
        <v>63</v>
      </c>
      <c r="D27" t="s">
        <v>33</v>
      </c>
      <c r="E27">
        <v>3</v>
      </c>
      <c r="J27">
        <v>25.2</v>
      </c>
      <c r="K27">
        <v>169</v>
      </c>
      <c r="L27">
        <v>30</v>
      </c>
      <c r="M27">
        <v>0.1</v>
      </c>
      <c r="N27">
        <v>2300</v>
      </c>
      <c r="V27">
        <v>0.15</v>
      </c>
      <c r="W27">
        <v>632.96346642531603</v>
      </c>
      <c r="Y27">
        <v>2350.8830396586709</v>
      </c>
    </row>
    <row r="28" spans="2:34" x14ac:dyDescent="0.3">
      <c r="B28" t="s">
        <v>66</v>
      </c>
      <c r="C28" t="s">
        <v>67</v>
      </c>
      <c r="D28" t="s">
        <v>33</v>
      </c>
      <c r="E28">
        <v>2</v>
      </c>
      <c r="J28">
        <v>24.9</v>
      </c>
      <c r="K28">
        <v>170.25</v>
      </c>
      <c r="L28">
        <v>30</v>
      </c>
      <c r="M28">
        <v>0.1</v>
      </c>
      <c r="N28">
        <v>2300</v>
      </c>
      <c r="U28">
        <v>4.2</v>
      </c>
      <c r="V28">
        <v>0.15</v>
      </c>
      <c r="W28">
        <v>631.42145341882497</v>
      </c>
      <c r="Y28">
        <v>2353.151203754343</v>
      </c>
    </row>
    <row r="29" spans="2:34" x14ac:dyDescent="0.3">
      <c r="B29" t="s">
        <v>68</v>
      </c>
      <c r="C29" t="s">
        <v>67</v>
      </c>
      <c r="D29" t="s">
        <v>33</v>
      </c>
      <c r="E29">
        <v>3</v>
      </c>
      <c r="J29">
        <v>25</v>
      </c>
      <c r="K29">
        <v>170.15</v>
      </c>
      <c r="L29">
        <v>30</v>
      </c>
      <c r="M29">
        <v>0.1</v>
      </c>
      <c r="N29">
        <v>2300</v>
      </c>
      <c r="U29">
        <v>4.2</v>
      </c>
      <c r="V29">
        <v>0.15</v>
      </c>
      <c r="W29">
        <v>631.52899611008434</v>
      </c>
      <c r="Y29">
        <v>2346.1496396958842</v>
      </c>
      <c r="AC29">
        <v>2.5000000000000001E-2</v>
      </c>
      <c r="AE29">
        <v>4056255.2</v>
      </c>
      <c r="AF29">
        <v>1681.6049075020289</v>
      </c>
    </row>
    <row r="30" spans="2:34" x14ac:dyDescent="0.3">
      <c r="B30" t="s">
        <v>69</v>
      </c>
      <c r="C30" t="s">
        <v>67</v>
      </c>
      <c r="D30" t="s">
        <v>33</v>
      </c>
      <c r="E30">
        <v>4</v>
      </c>
      <c r="J30">
        <v>25</v>
      </c>
      <c r="K30">
        <v>169.75</v>
      </c>
      <c r="L30">
        <v>30</v>
      </c>
      <c r="M30">
        <v>0.1</v>
      </c>
      <c r="N30">
        <v>2300</v>
      </c>
      <c r="U30">
        <v>2.25</v>
      </c>
      <c r="V30">
        <v>0.15</v>
      </c>
      <c r="AC30">
        <v>2.5000000000000001E-2</v>
      </c>
      <c r="AE30">
        <v>4589511.5</v>
      </c>
      <c r="AF30">
        <v>1902.677391066765</v>
      </c>
    </row>
    <row r="31" spans="2:34" x14ac:dyDescent="0.3">
      <c r="B31" t="s">
        <v>70</v>
      </c>
      <c r="C31" t="s">
        <v>67</v>
      </c>
      <c r="D31" t="s">
        <v>33</v>
      </c>
      <c r="E31">
        <v>5</v>
      </c>
      <c r="J31">
        <v>25</v>
      </c>
      <c r="K31">
        <v>169.15</v>
      </c>
      <c r="L31">
        <v>30</v>
      </c>
      <c r="M31">
        <v>0.1</v>
      </c>
      <c r="N31">
        <v>2300</v>
      </c>
      <c r="U31">
        <v>1.2</v>
      </c>
      <c r="V31">
        <v>0.15</v>
      </c>
      <c r="W31">
        <v>457.43140812095999</v>
      </c>
      <c r="Y31">
        <v>293.01038835475441</v>
      </c>
      <c r="AC31">
        <v>2.5000000000000001E-2</v>
      </c>
      <c r="AE31">
        <v>5129930.9000000004</v>
      </c>
      <c r="AF31">
        <v>2126.7194866305022</v>
      </c>
    </row>
    <row r="32" spans="2:34" x14ac:dyDescent="0.3">
      <c r="B32" t="s">
        <v>71</v>
      </c>
      <c r="C32" t="s">
        <v>67</v>
      </c>
      <c r="D32" t="s">
        <v>33</v>
      </c>
      <c r="E32">
        <v>6</v>
      </c>
      <c r="J32">
        <v>25.1</v>
      </c>
      <c r="K32">
        <v>167.7</v>
      </c>
      <c r="L32">
        <v>30</v>
      </c>
      <c r="M32">
        <v>0.1</v>
      </c>
      <c r="N32">
        <v>2300</v>
      </c>
      <c r="U32">
        <v>3.15</v>
      </c>
      <c r="V32">
        <v>0.15</v>
      </c>
      <c r="W32">
        <v>631.74974421131105</v>
      </c>
      <c r="Y32">
        <v>2353.9938189586978</v>
      </c>
      <c r="AC32">
        <v>2.5000000000000001E-2</v>
      </c>
      <c r="AE32">
        <v>4347129.0999999996</v>
      </c>
      <c r="AF32">
        <v>1802.1927289251621</v>
      </c>
    </row>
    <row r="33" spans="2:39" x14ac:dyDescent="0.3">
      <c r="B33" t="s">
        <v>72</v>
      </c>
      <c r="C33" t="s">
        <v>67</v>
      </c>
      <c r="D33" t="s">
        <v>33</v>
      </c>
      <c r="E33">
        <v>7</v>
      </c>
      <c r="J33">
        <v>25.2</v>
      </c>
      <c r="K33">
        <v>167.25</v>
      </c>
      <c r="L33">
        <v>30</v>
      </c>
      <c r="M33">
        <v>0.1</v>
      </c>
      <c r="N33">
        <v>2300</v>
      </c>
      <c r="U33">
        <v>3.6</v>
      </c>
      <c r="V33">
        <v>0.15</v>
      </c>
      <c r="W33">
        <v>631.77497154357741</v>
      </c>
      <c r="Y33">
        <v>2349.6763792928391</v>
      </c>
      <c r="AC33">
        <v>2.5000000000000001E-2</v>
      </c>
      <c r="AE33">
        <v>4140068.8</v>
      </c>
      <c r="AF33">
        <v>1716.351577552625</v>
      </c>
    </row>
    <row r="34" spans="2:39" x14ac:dyDescent="0.3">
      <c r="B34" t="s">
        <v>73</v>
      </c>
      <c r="C34" t="s">
        <v>67</v>
      </c>
      <c r="D34" t="s">
        <v>33</v>
      </c>
      <c r="E34">
        <v>8</v>
      </c>
      <c r="J34">
        <v>25.2</v>
      </c>
      <c r="K34">
        <v>165.95</v>
      </c>
      <c r="L34">
        <v>30</v>
      </c>
      <c r="M34">
        <v>0.1</v>
      </c>
      <c r="N34">
        <v>2300</v>
      </c>
      <c r="U34">
        <v>4.8</v>
      </c>
      <c r="V34">
        <v>0.15</v>
      </c>
      <c r="W34">
        <v>631.70630035369732</v>
      </c>
      <c r="Y34">
        <v>2354.5998481166612</v>
      </c>
      <c r="AC34">
        <v>2.5000000000000001E-2</v>
      </c>
      <c r="AE34">
        <v>3850424.2</v>
      </c>
      <c r="AF34">
        <v>1596.273387997031</v>
      </c>
    </row>
    <row r="35" spans="2:39" x14ac:dyDescent="0.3">
      <c r="B35" t="s">
        <v>74</v>
      </c>
      <c r="C35" t="s">
        <v>67</v>
      </c>
      <c r="D35" t="s">
        <v>33</v>
      </c>
      <c r="E35">
        <v>9</v>
      </c>
      <c r="J35">
        <v>25.2</v>
      </c>
      <c r="K35">
        <v>164.95</v>
      </c>
      <c r="L35">
        <v>30</v>
      </c>
      <c r="M35">
        <v>0.1</v>
      </c>
      <c r="N35">
        <v>2300</v>
      </c>
      <c r="U35">
        <v>4.2</v>
      </c>
      <c r="V35">
        <v>0.15</v>
      </c>
      <c r="W35">
        <v>631.75731559808935</v>
      </c>
      <c r="Y35">
        <v>2356.3168167821818</v>
      </c>
    </row>
    <row r="36" spans="2:39" x14ac:dyDescent="0.3">
      <c r="B36" t="s">
        <v>75</v>
      </c>
      <c r="C36" t="s">
        <v>76</v>
      </c>
      <c r="D36" t="s">
        <v>33</v>
      </c>
      <c r="E36">
        <v>1</v>
      </c>
      <c r="J36">
        <v>24.7</v>
      </c>
      <c r="K36">
        <v>164.8</v>
      </c>
      <c r="L36">
        <v>30</v>
      </c>
      <c r="M36">
        <v>0.1</v>
      </c>
      <c r="N36">
        <v>2290.851025088718</v>
      </c>
      <c r="P36">
        <v>821</v>
      </c>
      <c r="Q36" t="s">
        <v>36</v>
      </c>
      <c r="S36">
        <v>4.2</v>
      </c>
      <c r="T36">
        <v>0.15</v>
      </c>
      <c r="U36">
        <v>4.2</v>
      </c>
      <c r="V36">
        <v>0.15</v>
      </c>
      <c r="W36">
        <v>631.29484720917503</v>
      </c>
      <c r="Y36">
        <v>2353.5751308215899</v>
      </c>
      <c r="AC36">
        <v>2.5000000000000001E-2</v>
      </c>
      <c r="AE36">
        <v>3996936.5</v>
      </c>
      <c r="AF36">
        <v>1657.013107403593</v>
      </c>
    </row>
    <row r="37" spans="2:39" x14ac:dyDescent="0.3">
      <c r="B37" t="s">
        <v>77</v>
      </c>
      <c r="C37" t="s">
        <v>76</v>
      </c>
      <c r="D37" t="s">
        <v>33</v>
      </c>
      <c r="E37">
        <v>2</v>
      </c>
      <c r="J37">
        <v>25</v>
      </c>
      <c r="K37">
        <v>162.69999999999999</v>
      </c>
      <c r="L37">
        <v>30</v>
      </c>
      <c r="M37">
        <v>0.1</v>
      </c>
      <c r="N37">
        <v>2290.851025088718</v>
      </c>
      <c r="P37">
        <v>555</v>
      </c>
      <c r="Q37" t="s">
        <v>36</v>
      </c>
      <c r="S37">
        <v>2.25</v>
      </c>
      <c r="T37">
        <v>0.15</v>
      </c>
      <c r="U37">
        <v>2.25</v>
      </c>
      <c r="V37">
        <v>0.15</v>
      </c>
      <c r="W37">
        <v>521.13704587929658</v>
      </c>
      <c r="Y37">
        <v>1473.4822206123811</v>
      </c>
      <c r="AC37">
        <v>2.5000000000000001E-2</v>
      </c>
      <c r="AE37">
        <v>4640377.9000000004</v>
      </c>
      <c r="AF37">
        <v>1923.7651145085649</v>
      </c>
      <c r="AI37">
        <v>2.5000000000000001E-2</v>
      </c>
      <c r="AK37">
        <v>5540809</v>
      </c>
      <c r="AL37">
        <v>2297.057543601155</v>
      </c>
      <c r="AM37" t="s">
        <v>53</v>
      </c>
    </row>
    <row r="38" spans="2:39" x14ac:dyDescent="0.3">
      <c r="B38" t="s">
        <v>78</v>
      </c>
      <c r="C38" t="s">
        <v>76</v>
      </c>
      <c r="D38" t="s">
        <v>33</v>
      </c>
      <c r="E38">
        <v>3</v>
      </c>
      <c r="J38">
        <v>25</v>
      </c>
      <c r="K38">
        <v>162.05000000000001</v>
      </c>
      <c r="L38">
        <v>30</v>
      </c>
      <c r="M38">
        <v>0.1</v>
      </c>
      <c r="N38">
        <v>2290.851025088718</v>
      </c>
      <c r="S38">
        <v>1.2</v>
      </c>
      <c r="T38">
        <v>0.15</v>
      </c>
      <c r="U38">
        <v>1.2</v>
      </c>
      <c r="V38">
        <v>0.15</v>
      </c>
      <c r="W38">
        <v>457.17235530609531</v>
      </c>
      <c r="Y38">
        <v>316.06099097493518</v>
      </c>
      <c r="AC38">
        <v>2.5000000000000001E-2</v>
      </c>
      <c r="AE38">
        <v>5097601</v>
      </c>
      <c r="AF38">
        <v>2113.3164545680588</v>
      </c>
      <c r="AI38">
        <v>2.5000000000000001E-2</v>
      </c>
      <c r="AK38">
        <v>5510867.0999999996</v>
      </c>
      <c r="AL38">
        <v>2284.6445065762809</v>
      </c>
      <c r="AM38" t="s">
        <v>53</v>
      </c>
    </row>
    <row r="39" spans="2:39" x14ac:dyDescent="0.3">
      <c r="B39" t="s">
        <v>79</v>
      </c>
      <c r="C39" t="s">
        <v>76</v>
      </c>
      <c r="D39" t="s">
        <v>33</v>
      </c>
      <c r="E39">
        <v>4</v>
      </c>
      <c r="J39">
        <v>25.2</v>
      </c>
      <c r="K39">
        <v>160.94999999999999</v>
      </c>
      <c r="L39">
        <v>30</v>
      </c>
      <c r="M39">
        <v>0.1</v>
      </c>
      <c r="N39">
        <v>2290.851025088718</v>
      </c>
      <c r="S39">
        <v>1.2</v>
      </c>
      <c r="T39">
        <v>0.15</v>
      </c>
      <c r="U39">
        <v>1.2</v>
      </c>
      <c r="V39">
        <v>0.15</v>
      </c>
      <c r="W39">
        <v>457.25811077678622</v>
      </c>
      <c r="Y39">
        <v>321.52978738815011</v>
      </c>
      <c r="AC39">
        <v>2.5000000000000001E-2</v>
      </c>
      <c r="AE39">
        <v>4970468.2</v>
      </c>
      <c r="AF39">
        <v>2060.6109097136641</v>
      </c>
      <c r="AL39">
        <v>2290.851025088718</v>
      </c>
    </row>
    <row r="40" spans="2:39" x14ac:dyDescent="0.3">
      <c r="B40" t="s">
        <v>80</v>
      </c>
      <c r="C40" t="s">
        <v>76</v>
      </c>
      <c r="D40" t="s">
        <v>33</v>
      </c>
      <c r="E40">
        <v>5</v>
      </c>
      <c r="J40">
        <v>25.2</v>
      </c>
      <c r="K40">
        <v>160.65</v>
      </c>
      <c r="L40">
        <v>30</v>
      </c>
      <c r="M40">
        <v>0.1</v>
      </c>
      <c r="N40">
        <v>2290.851025088718</v>
      </c>
      <c r="S40">
        <v>1.2</v>
      </c>
      <c r="T40">
        <v>0.15</v>
      </c>
      <c r="U40">
        <v>1.2</v>
      </c>
      <c r="V40">
        <v>0.15</v>
      </c>
      <c r="W40">
        <v>457.26364589724301</v>
      </c>
      <c r="Y40">
        <v>321.95994581450168</v>
      </c>
      <c r="AC40">
        <v>2.5000000000000001E-2</v>
      </c>
      <c r="AE40">
        <v>5091844</v>
      </c>
      <c r="AF40">
        <v>2110.9297705516069</v>
      </c>
    </row>
    <row r="41" spans="2:39" x14ac:dyDescent="0.3">
      <c r="B41" t="s">
        <v>81</v>
      </c>
      <c r="C41" t="s">
        <v>76</v>
      </c>
      <c r="D41" t="s">
        <v>33</v>
      </c>
      <c r="E41">
        <v>7</v>
      </c>
      <c r="J41">
        <v>25.2</v>
      </c>
      <c r="K41">
        <v>160.05000000000001</v>
      </c>
      <c r="L41">
        <v>30</v>
      </c>
      <c r="M41">
        <v>0.1</v>
      </c>
      <c r="N41">
        <v>2290.851025088718</v>
      </c>
      <c r="P41">
        <v>539</v>
      </c>
      <c r="Q41" t="s">
        <v>36</v>
      </c>
      <c r="S41">
        <v>2.25</v>
      </c>
      <c r="T41">
        <v>0.15</v>
      </c>
      <c r="U41">
        <v>2.25</v>
      </c>
      <c r="V41">
        <v>0.15</v>
      </c>
      <c r="W41">
        <v>516.50379346022282</v>
      </c>
      <c r="Y41">
        <v>1381.2133427804949</v>
      </c>
      <c r="AC41">
        <v>2.5000000000000001E-2</v>
      </c>
      <c r="AE41">
        <v>4686458.3</v>
      </c>
      <c r="AF41">
        <v>1942.8687021673629</v>
      </c>
    </row>
    <row r="42" spans="2:39" x14ac:dyDescent="0.3">
      <c r="B42" t="s">
        <v>82</v>
      </c>
      <c r="C42" t="s">
        <v>76</v>
      </c>
      <c r="D42" t="s">
        <v>33</v>
      </c>
      <c r="E42">
        <v>8</v>
      </c>
      <c r="J42">
        <v>25.21</v>
      </c>
      <c r="K42">
        <v>159.65</v>
      </c>
      <c r="L42">
        <v>30</v>
      </c>
      <c r="M42">
        <v>0.1</v>
      </c>
      <c r="N42">
        <v>2290.851025088718</v>
      </c>
      <c r="P42">
        <v>548</v>
      </c>
      <c r="Q42" t="s">
        <v>36</v>
      </c>
      <c r="S42">
        <v>2.25</v>
      </c>
      <c r="T42">
        <v>0.15</v>
      </c>
      <c r="U42">
        <v>2.25</v>
      </c>
      <c r="V42">
        <v>0.15</v>
      </c>
      <c r="W42">
        <v>516.0945480188559</v>
      </c>
      <c r="Y42">
        <v>1378.574262684311</v>
      </c>
      <c r="AC42">
        <v>2.5000000000000001E-2</v>
      </c>
      <c r="AE42">
        <v>4664614.5999999996</v>
      </c>
      <c r="AF42">
        <v>1933.8129422837139</v>
      </c>
    </row>
    <row r="43" spans="2:39" x14ac:dyDescent="0.3">
      <c r="B43" t="s">
        <v>83</v>
      </c>
      <c r="C43" t="s">
        <v>76</v>
      </c>
      <c r="D43" t="s">
        <v>33</v>
      </c>
      <c r="E43">
        <v>9</v>
      </c>
      <c r="J43">
        <v>25</v>
      </c>
      <c r="K43">
        <v>159.35</v>
      </c>
      <c r="L43">
        <v>30</v>
      </c>
      <c r="M43">
        <v>0.1</v>
      </c>
      <c r="N43">
        <v>2290.851025088718</v>
      </c>
      <c r="P43">
        <v>561</v>
      </c>
      <c r="Q43" t="s">
        <v>36</v>
      </c>
      <c r="S43">
        <v>2.25</v>
      </c>
      <c r="T43">
        <v>0.15</v>
      </c>
      <c r="U43">
        <v>2.25</v>
      </c>
      <c r="V43">
        <v>0.15</v>
      </c>
      <c r="W43">
        <v>515.58992502559022</v>
      </c>
      <c r="Y43">
        <v>1375.7846896123549</v>
      </c>
      <c r="AC43">
        <v>2.5000000000000001E-2</v>
      </c>
      <c r="AE43">
        <v>4653102</v>
      </c>
      <c r="AF43">
        <v>1929.040154649912</v>
      </c>
    </row>
    <row r="44" spans="2:39" x14ac:dyDescent="0.3">
      <c r="B44" t="s">
        <v>84</v>
      </c>
      <c r="C44" t="s">
        <v>76</v>
      </c>
      <c r="D44" t="s">
        <v>33</v>
      </c>
      <c r="E44">
        <v>10</v>
      </c>
      <c r="J44">
        <v>25</v>
      </c>
      <c r="K44">
        <v>159.25</v>
      </c>
      <c r="L44">
        <v>30</v>
      </c>
      <c r="M44">
        <v>0.1</v>
      </c>
      <c r="N44">
        <v>2290.851025088718</v>
      </c>
      <c r="P44">
        <v>697</v>
      </c>
      <c r="S44">
        <v>3.15</v>
      </c>
      <c r="T44">
        <v>0.15</v>
      </c>
      <c r="U44">
        <v>3.15</v>
      </c>
      <c r="V44">
        <v>0.15</v>
      </c>
      <c r="W44">
        <v>631.88252475650006</v>
      </c>
      <c r="Y44">
        <v>2371.9008162905789</v>
      </c>
      <c r="AC44">
        <v>2.5000000000000001E-2</v>
      </c>
      <c r="AE44">
        <v>4331237</v>
      </c>
      <c r="AF44">
        <v>1795.6043285329699</v>
      </c>
    </row>
    <row r="45" spans="2:39" x14ac:dyDescent="0.3">
      <c r="B45" t="s">
        <v>85</v>
      </c>
      <c r="C45" t="s">
        <v>76</v>
      </c>
      <c r="D45" t="s">
        <v>33</v>
      </c>
      <c r="E45">
        <v>11</v>
      </c>
      <c r="J45">
        <v>25.1</v>
      </c>
      <c r="K45">
        <v>159.05000000000001</v>
      </c>
      <c r="L45">
        <v>30</v>
      </c>
      <c r="M45">
        <v>0.1</v>
      </c>
      <c r="N45">
        <v>2290.851025088718</v>
      </c>
      <c r="P45">
        <v>690</v>
      </c>
      <c r="S45">
        <v>3.15</v>
      </c>
      <c r="T45">
        <v>0.15</v>
      </c>
      <c r="U45">
        <v>3.15</v>
      </c>
      <c r="V45">
        <v>0.15</v>
      </c>
      <c r="W45">
        <v>631.83894977692648</v>
      </c>
      <c r="Y45">
        <v>2370.614220229178</v>
      </c>
      <c r="AC45">
        <v>2.5000000000000001E-2</v>
      </c>
      <c r="AE45">
        <v>4366788.8</v>
      </c>
      <c r="AF45">
        <v>1810.3430662116371</v>
      </c>
    </row>
    <row r="46" spans="2:39" x14ac:dyDescent="0.3">
      <c r="B46" t="s">
        <v>86</v>
      </c>
      <c r="C46" t="s">
        <v>76</v>
      </c>
      <c r="D46" t="s">
        <v>33</v>
      </c>
      <c r="E46">
        <v>12</v>
      </c>
      <c r="J46">
        <v>24.8</v>
      </c>
      <c r="K46">
        <v>158.80000000000001</v>
      </c>
      <c r="L46">
        <v>30</v>
      </c>
      <c r="M46">
        <v>0.1</v>
      </c>
      <c r="N46">
        <v>2290.851025088718</v>
      </c>
      <c r="P46">
        <v>803</v>
      </c>
      <c r="S46">
        <v>4.2</v>
      </c>
      <c r="T46">
        <v>0.15</v>
      </c>
      <c r="U46">
        <v>4.2</v>
      </c>
      <c r="V46">
        <v>0.15</v>
      </c>
      <c r="W46">
        <v>631.58138224648576</v>
      </c>
      <c r="Y46">
        <v>2370.381440353894</v>
      </c>
      <c r="AC46">
        <v>2.5000000000000001E-2</v>
      </c>
      <c r="AE46">
        <v>4070656.6</v>
      </c>
      <c r="AF46">
        <v>1687.575307223156</v>
      </c>
    </row>
    <row r="47" spans="2:39" x14ac:dyDescent="0.3">
      <c r="B47" t="s">
        <v>87</v>
      </c>
      <c r="C47" t="s">
        <v>76</v>
      </c>
      <c r="D47" t="s">
        <v>33</v>
      </c>
      <c r="E47">
        <v>13</v>
      </c>
      <c r="J47">
        <v>25</v>
      </c>
      <c r="K47">
        <v>158.65</v>
      </c>
      <c r="L47">
        <v>30</v>
      </c>
      <c r="M47">
        <v>0.1</v>
      </c>
      <c r="N47">
        <v>2290.851025088718</v>
      </c>
      <c r="S47">
        <v>4.2</v>
      </c>
      <c r="T47">
        <v>0.15</v>
      </c>
      <c r="U47">
        <v>4.2</v>
      </c>
      <c r="V47">
        <v>0.15</v>
      </c>
      <c r="W47">
        <v>631.74758131230521</v>
      </c>
      <c r="Y47">
        <v>2372.426943327805</v>
      </c>
      <c r="AC47">
        <v>2.5000000000000001E-2</v>
      </c>
      <c r="AE47">
        <v>4101739.2</v>
      </c>
      <c r="AF47">
        <f>AE47/(0.025*AH2)</f>
        <v>1700.461245143907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 Remkes</cp:lastModifiedBy>
  <dcterms:created xsi:type="dcterms:W3CDTF">2025-10-02T08:47:30Z</dcterms:created>
  <dcterms:modified xsi:type="dcterms:W3CDTF">2025-10-02T12:04:13Z</dcterms:modified>
</cp:coreProperties>
</file>